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I\Downloads\"/>
    </mc:Choice>
  </mc:AlternateContent>
  <xr:revisionPtr revIDLastSave="0" documentId="13_ncr:1_{63A47ED9-1191-4A3C-80E3-F74A83EE8B5D}" xr6:coauthVersionLast="47" xr6:coauthVersionMax="47" xr10:uidLastSave="{00000000-0000-0000-0000-000000000000}"/>
  <bookViews>
    <workbookView xWindow="-108" yWindow="-108" windowWidth="23256" windowHeight="13176" xr2:uid="{59F34EA7-40EE-45D1-92AC-18E326EA6A95}"/>
  </bookViews>
  <sheets>
    <sheet name="Student_data" sheetId="2" r:id="rId1"/>
    <sheet name="Dahboard" sheetId="3" r:id="rId2"/>
  </sheets>
  <definedNames>
    <definedName name="_xlnm._FilterDatabase" localSheetId="1" hidden="1">Dahboard!$B$26:$D$30</definedName>
    <definedName name="_xlnm._FilterDatabase" localSheetId="0" hidden="1">Student_data!$A$1:$M$229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D28" i="3"/>
  <c r="D27" i="3"/>
  <c r="D30" i="3"/>
  <c r="D29" i="3"/>
  <c r="I15" i="3"/>
  <c r="I16" i="3"/>
  <c r="I17" i="3"/>
  <c r="I18" i="3"/>
  <c r="I14" i="3"/>
  <c r="H15" i="3"/>
  <c r="H16" i="3"/>
  <c r="H17" i="3"/>
  <c r="H18" i="3"/>
  <c r="G15" i="3"/>
  <c r="G16" i="3"/>
  <c r="G17" i="3"/>
  <c r="G18" i="3"/>
  <c r="G14" i="3"/>
  <c r="E18" i="3"/>
  <c r="E15" i="3"/>
  <c r="E16" i="3"/>
  <c r="E17" i="3"/>
  <c r="E14" i="3"/>
</calcChain>
</file>

<file path=xl/sharedStrings.xml><?xml version="1.0" encoding="utf-8"?>
<sst xmlns="http://schemas.openxmlformats.org/spreadsheetml/2006/main" count="1188" uniqueCount="267">
  <si>
    <t>S.No</t>
  </si>
  <si>
    <t>Section</t>
  </si>
  <si>
    <t>Name</t>
  </si>
  <si>
    <t>User Type</t>
  </si>
  <si>
    <t>Pass Name</t>
  </si>
  <si>
    <t>No of passes Required</t>
  </si>
  <si>
    <t>No of passes Purchased</t>
  </si>
  <si>
    <t>No of passes Shared</t>
  </si>
  <si>
    <t>No of passes Claimed</t>
  </si>
  <si>
    <t xml:space="preserve">Referral Sales-verified one </t>
  </si>
  <si>
    <t>Total Sales</t>
  </si>
  <si>
    <t>Program name</t>
  </si>
  <si>
    <t>Batch name</t>
  </si>
  <si>
    <t>A</t>
  </si>
  <si>
    <t>A DivyaSree</t>
  </si>
  <si>
    <t>STUDENT</t>
  </si>
  <si>
    <t>Kanyathon 2025</t>
  </si>
  <si>
    <t>PGDM</t>
  </si>
  <si>
    <t>Aaditya K</t>
  </si>
  <si>
    <t>Aanchal Sapra</t>
  </si>
  <si>
    <t>Abhinav B</t>
  </si>
  <si>
    <t>Abhyuday Tripathi</t>
  </si>
  <si>
    <t>Adarsh G</t>
  </si>
  <si>
    <t>Aditi Kumari</t>
  </si>
  <si>
    <t>Akarsh Narain</t>
  </si>
  <si>
    <t>Anamitra Dutta</t>
  </si>
  <si>
    <t>Aniket Inani</t>
  </si>
  <si>
    <t>Anushk Goel</t>
  </si>
  <si>
    <t>Apoorwa Mishra</t>
  </si>
  <si>
    <t>Arnav Rastogi</t>
  </si>
  <si>
    <t>Aryan Atreya</t>
  </si>
  <si>
    <t>Aryan Trivedi</t>
  </si>
  <si>
    <t>Ashwin Bhaskar</t>
  </si>
  <si>
    <t>Bhavik Puri</t>
  </si>
  <si>
    <t>Bibek KumarMuduli</t>
  </si>
  <si>
    <t>C Divyashree</t>
  </si>
  <si>
    <t>Chirag Bhardwaj</t>
  </si>
  <si>
    <t>Deepak Birthare</t>
  </si>
  <si>
    <t>Dhruban Talukdar</t>
  </si>
  <si>
    <t>Divyam Sood</t>
  </si>
  <si>
    <t>Elina Mahanta</t>
  </si>
  <si>
    <t>G TharnathReddy</t>
  </si>
  <si>
    <t>Harish KumarR</t>
  </si>
  <si>
    <t>Jaladi BlessySusanthika</t>
  </si>
  <si>
    <t>Jyoti Sahoo</t>
  </si>
  <si>
    <t>Karan Kashyap</t>
  </si>
  <si>
    <t>Kartheek SuryaDevarapalli</t>
  </si>
  <si>
    <t>Karthik Gr</t>
  </si>
  <si>
    <t>Keshav Dhoot</t>
  </si>
  <si>
    <t>Krish Chakraborty</t>
  </si>
  <si>
    <t>Lakshita Chandak</t>
  </si>
  <si>
    <t>Leena D</t>
  </si>
  <si>
    <t>Nikhitha SriyaPottangi</t>
  </si>
  <si>
    <t>Niranjana Hari</t>
  </si>
  <si>
    <t>Nishant Mishra</t>
  </si>
  <si>
    <t>Nithish Yuvaraj</t>
  </si>
  <si>
    <t>Pooja .S</t>
  </si>
  <si>
    <t>Poulami Sarkar</t>
  </si>
  <si>
    <t>Prachi Chauhan</t>
  </si>
  <si>
    <t>Prajwal PKulkarni</t>
  </si>
  <si>
    <t>Prithviraj Srinivasan</t>
  </si>
  <si>
    <t>Pushkar Dey</t>
  </si>
  <si>
    <t>Rajnish Kumar</t>
  </si>
  <si>
    <t>Rishi RajYadav</t>
  </si>
  <si>
    <t>Rishik ChandraPasupuleti</t>
  </si>
  <si>
    <t>Riya Rose</t>
  </si>
  <si>
    <t>Sadya Anwar</t>
  </si>
  <si>
    <t>Sejal Negi</t>
  </si>
  <si>
    <t>Shankar Vyas</t>
  </si>
  <si>
    <t>Shubham Goel</t>
  </si>
  <si>
    <t>Snehith Samala</t>
  </si>
  <si>
    <t>Souvik Biswas</t>
  </si>
  <si>
    <t>Sree Nithish</t>
  </si>
  <si>
    <t>Srishti</t>
  </si>
  <si>
    <t>Subham KumarSahana</t>
  </si>
  <si>
    <t>Thribhuvan Gowda</t>
  </si>
  <si>
    <t>Vanshita Bali</t>
  </si>
  <si>
    <t>Varun Thampi</t>
  </si>
  <si>
    <t>Veeraj VasuPoojari</t>
  </si>
  <si>
    <t>Weslinraj WeslinRaj</t>
  </si>
  <si>
    <t>Yash Sen</t>
  </si>
  <si>
    <t>B</t>
  </si>
  <si>
    <t>Aditya YuvrajSingh Ranawat</t>
  </si>
  <si>
    <t>Akshat Singh</t>
  </si>
  <si>
    <t>Amal ShibuBalan</t>
  </si>
  <si>
    <t>Anantaa Paul</t>
  </si>
  <si>
    <t>Aniket Raj</t>
  </si>
  <si>
    <t>Anshumann SinghSisodiya</t>
  </si>
  <si>
    <t>Anu Kumari</t>
  </si>
  <si>
    <t>Archa SLal</t>
  </si>
  <si>
    <t>Arit Roy</t>
  </si>
  <si>
    <t>Arush Mangal</t>
  </si>
  <si>
    <t>Aryan Balapure</t>
  </si>
  <si>
    <t>Ashish AbrahamJohn</t>
  </si>
  <si>
    <t>Ashutosh Sharan</t>
  </si>
  <si>
    <t>Bipasha Mandal</t>
  </si>
  <si>
    <t>Bonula Pravallika</t>
  </si>
  <si>
    <t>Chaitya SwaroopSahu</t>
  </si>
  <si>
    <t>Debotree Roy</t>
  </si>
  <si>
    <t>Divya Ashok</t>
  </si>
  <si>
    <t>Faizulhusen ANiaz</t>
  </si>
  <si>
    <t>Gagan C S</t>
  </si>
  <si>
    <t>Garima Sarraf</t>
  </si>
  <si>
    <t>Harshavarthni K S</t>
  </si>
  <si>
    <t>Hemant Prajapat</t>
  </si>
  <si>
    <t>Himanshu Chahar</t>
  </si>
  <si>
    <t>Himanshu Mall</t>
  </si>
  <si>
    <t>Jay Dwivedi</t>
  </si>
  <si>
    <t>Jigyasa Singh</t>
  </si>
  <si>
    <t>Kunal Khurana</t>
  </si>
  <si>
    <t>Kushal Badalia</t>
  </si>
  <si>
    <t>Kushal Srivastav</t>
  </si>
  <si>
    <t>M MaureenMandy</t>
  </si>
  <si>
    <t>Madhav Sharma</t>
  </si>
  <si>
    <t>Meghana JayaSatuluri</t>
  </si>
  <si>
    <t>Nandan GanapatiBhat</t>
  </si>
  <si>
    <t>O K Srivyshnu</t>
  </si>
  <si>
    <t>Prince Kumar</t>
  </si>
  <si>
    <t>Rahul Ghosh</t>
  </si>
  <si>
    <t>Rahul KumarMallick</t>
  </si>
  <si>
    <t>Ramya H</t>
  </si>
  <si>
    <t>Riddhiman Saha</t>
  </si>
  <si>
    <t>S Sandeep</t>
  </si>
  <si>
    <t>Sanjay Baliga</t>
  </si>
  <si>
    <t>Sanjib KumarBhagabati</t>
  </si>
  <si>
    <t>Saqib KalandarAttar</t>
  </si>
  <si>
    <t>Saurav Kumar</t>
  </si>
  <si>
    <t>Shaswat Mishra</t>
  </si>
  <si>
    <t>Shatabarta Chanda</t>
  </si>
  <si>
    <t>Shivang Mishra</t>
  </si>
  <si>
    <t>Shruti Rajale</t>
  </si>
  <si>
    <t>Sofia Do CarmoRodrigues</t>
  </si>
  <si>
    <t>Somya Sahoo</t>
  </si>
  <si>
    <t>Spandana Chandragiri</t>
  </si>
  <si>
    <t>Sreya Sivadas</t>
  </si>
  <si>
    <t>Subhrojit Ghosh</t>
  </si>
  <si>
    <t>Sukhman Sandhu</t>
  </si>
  <si>
    <t>Suvam Basak</t>
  </si>
  <si>
    <t>Syed SofiaMehazabeen</t>
  </si>
  <si>
    <t>Tushar KantPanda</t>
  </si>
  <si>
    <t>Urvi Verma</t>
  </si>
  <si>
    <t>V L S KavyaDevarapalli</t>
  </si>
  <si>
    <t>Vaibhav Laldas</t>
  </si>
  <si>
    <t>Vaibhav Pandey</t>
  </si>
  <si>
    <t>Vittika DnyaneshwarChavhan</t>
  </si>
  <si>
    <t>Yash Kataruka</t>
  </si>
  <si>
    <t>C</t>
  </si>
  <si>
    <t>Abhinav Dubey</t>
  </si>
  <si>
    <t>Abhishek KumarNema</t>
  </si>
  <si>
    <t>Abhishek Nanda</t>
  </si>
  <si>
    <t>Adarsh RajBarman</t>
  </si>
  <si>
    <t>Akhileswaradu Manikireddy</t>
  </si>
  <si>
    <t>Ananya Das</t>
  </si>
  <si>
    <t>Anupa Maheshwari</t>
  </si>
  <si>
    <t>Arpit Katiyar</t>
  </si>
  <si>
    <t>Ashita Roshan Kumar</t>
  </si>
  <si>
    <t>Ayush Anand</t>
  </si>
  <si>
    <t>Ayushi Mohanty</t>
  </si>
  <si>
    <t>Darsh NimeshShah</t>
  </si>
  <si>
    <t>Deekshitha S</t>
  </si>
  <si>
    <t>Deewanshu Ukey</t>
  </si>
  <si>
    <t>Disha Baid</t>
  </si>
  <si>
    <t>Farheena TaskinJamadar</t>
  </si>
  <si>
    <t>Gaurav Gaur</t>
  </si>
  <si>
    <t>Govinda RajuluBoya</t>
  </si>
  <si>
    <t>Harshita Chauhan</t>
  </si>
  <si>
    <t>Himanshu Upadhyay</t>
  </si>
  <si>
    <t>Isha Gera</t>
  </si>
  <si>
    <t>Jayant Pal</t>
  </si>
  <si>
    <t>K BalajiReddy</t>
  </si>
  <si>
    <t>Kajal Choudhary</t>
  </si>
  <si>
    <t>Koustav Biswas</t>
  </si>
  <si>
    <t>Laxmi Poorvaja S</t>
  </si>
  <si>
    <t>Malvika .</t>
  </si>
  <si>
    <t>Megha Prajapati</t>
  </si>
  <si>
    <t>Melvin Roche. A</t>
  </si>
  <si>
    <t>Milan KrishnaN E</t>
  </si>
  <si>
    <t>Naitik Roy</t>
  </si>
  <si>
    <t>Nihal Poojary</t>
  </si>
  <si>
    <t>Nikita Soni</t>
  </si>
  <si>
    <t>Nimisha Baruah</t>
  </si>
  <si>
    <t>Nitesh RamniwasSaini</t>
  </si>
  <si>
    <t>Pasumurty VineethKumar</t>
  </si>
  <si>
    <t>Pavitra V</t>
  </si>
  <si>
    <t>Piyush Kumar</t>
  </si>
  <si>
    <t>Prabhansha Vyas</t>
  </si>
  <si>
    <t>Prachi Pandey</t>
  </si>
  <si>
    <t>Preethish Mesa</t>
  </si>
  <si>
    <t>Pujarchana Nayak</t>
  </si>
  <si>
    <t>Purnita Gupta</t>
  </si>
  <si>
    <t>Rahul LalP. P</t>
  </si>
  <si>
    <t>Renukha S</t>
  </si>
  <si>
    <t>Ritaban Roy</t>
  </si>
  <si>
    <t>Riya Batra</t>
  </si>
  <si>
    <t>Riya Guliya</t>
  </si>
  <si>
    <t>Rohan Agrawal</t>
  </si>
  <si>
    <t>Ronak Agarwal</t>
  </si>
  <si>
    <t>Sahil Gupta</t>
  </si>
  <si>
    <t>Sai KrishnaKaveti</t>
  </si>
  <si>
    <t>Sakchi Suryavanshi</t>
  </si>
  <si>
    <t>Sanskar Dixit</t>
  </si>
  <si>
    <t>Shreya Bohre</t>
  </si>
  <si>
    <t>Shristi Prakash</t>
  </si>
  <si>
    <t>Shruti Sharma</t>
  </si>
  <si>
    <t>Shruti VishamberBuchasia</t>
  </si>
  <si>
    <t>Shubham Kumar</t>
  </si>
  <si>
    <t>Siddharth Singh</t>
  </si>
  <si>
    <t>Sivaraman S</t>
  </si>
  <si>
    <t>Sonali Agarwal</t>
  </si>
  <si>
    <t>Souvik Roy</t>
  </si>
  <si>
    <t>Sudharsan B</t>
  </si>
  <si>
    <t>Sumit Sharma</t>
  </si>
  <si>
    <t>Trinanjan Purkait</t>
  </si>
  <si>
    <t>U PratheekM Bhat</t>
  </si>
  <si>
    <t>Vanshika Bihani</t>
  </si>
  <si>
    <t>Varsha Saji</t>
  </si>
  <si>
    <t>Vishal Bhagat</t>
  </si>
  <si>
    <t>Yasaswini ReddySagili</t>
  </si>
  <si>
    <t>D</t>
  </si>
  <si>
    <t>Abhirup Choudhury</t>
  </si>
  <si>
    <t>Aman Kumar</t>
  </si>
  <si>
    <t>Ananya Raj</t>
  </si>
  <si>
    <t>Animesh Tiwari</t>
  </si>
  <si>
    <t>Ankita Anand</t>
  </si>
  <si>
    <t>Badhul BPillai</t>
  </si>
  <si>
    <t>Harshit Gopawat</t>
  </si>
  <si>
    <t>Harshvardhan Patidar</t>
  </si>
  <si>
    <t>Kartik Garg</t>
  </si>
  <si>
    <t>Krishna KumarSingh</t>
  </si>
  <si>
    <t>Kushal Raj</t>
  </si>
  <si>
    <t>Md Arsalan Siddiqui</t>
  </si>
  <si>
    <t>Musaddik Kurundwad</t>
  </si>
  <si>
    <t>Nikita Sehgal</t>
  </si>
  <si>
    <t>Pritam Raju Shet</t>
  </si>
  <si>
    <t>Rahul Gupta</t>
  </si>
  <si>
    <t>Reshu Sharma</t>
  </si>
  <si>
    <t>Riya Kumari</t>
  </si>
  <si>
    <t>Saisrita Rao</t>
  </si>
  <si>
    <t>Sanjana ManishkumarKapadia</t>
  </si>
  <si>
    <t>Saurav Singh</t>
  </si>
  <si>
    <t>Shivam Ratnani</t>
  </si>
  <si>
    <t>Shreya Sethi</t>
  </si>
  <si>
    <t>Soumya</t>
  </si>
  <si>
    <t>Soumya Roy</t>
  </si>
  <si>
    <t>Srijan Dobhal</t>
  </si>
  <si>
    <t>Vikash Kumar</t>
  </si>
  <si>
    <t>Vishal Durga RaoGandu</t>
  </si>
  <si>
    <t>Vrijendra Balaji</t>
  </si>
  <si>
    <t>Grand Total</t>
  </si>
  <si>
    <t>Sum of No of passes Shared</t>
  </si>
  <si>
    <t>Sum of Total Sales</t>
  </si>
  <si>
    <t>SECTION</t>
  </si>
  <si>
    <t>Total Strength</t>
  </si>
  <si>
    <t>Stocklifted</t>
  </si>
  <si>
    <t>Expected Sales</t>
  </si>
  <si>
    <t>Actual Sales</t>
  </si>
  <si>
    <t>Sum of no. of passes required</t>
  </si>
  <si>
    <t>Sum of no. of passes purchased</t>
  </si>
  <si>
    <t>Sum of No of passes Claimed</t>
  </si>
  <si>
    <t xml:space="preserve">Sum of Referral Sales-verified one </t>
  </si>
  <si>
    <t>Balance</t>
  </si>
  <si>
    <t>Ranking</t>
  </si>
  <si>
    <t>SECTION WISE RANKING</t>
  </si>
  <si>
    <t>Completed(%)</t>
  </si>
  <si>
    <t>Pending(%)</t>
  </si>
  <si>
    <t>SALES DASHBOARD</t>
  </si>
  <si>
    <t>SECTION WISE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</si>
</sst>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83CCEB"/>
      </patternFill>
    </fill>
    <fill>
      <patternFill patternType="solid">
        <fgColor theme="0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1" fillId="0" borderId="2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3" borderId="3" xfId="0" applyFont="1" applyFill="1" applyBorder="1"/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3" borderId="8" xfId="0" applyFont="1" applyFill="1" applyBorder="1"/>
    <xf numFmtId="0" fontId="2" fillId="2" borderId="8" xfId="0" applyFont="1" applyFill="1" applyBorder="1"/>
    <xf numFmtId="0" fontId="2" fillId="3" borderId="9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6" xfId="0" applyBorder="1"/>
    <xf numFmtId="0" fontId="0" fillId="0" borderId="13" xfId="0" applyBorder="1"/>
    <xf numFmtId="0" fontId="0" fillId="0" borderId="4" xfId="0" applyBorder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64" fontId="4" fillId="0" borderId="1" xfId="0" applyNumberFormat="1" applyFont="1" applyBorder="1"/>
    <xf numFmtId="0" fontId="7" fillId="7" borderId="1" xfId="0" applyFont="1" applyFill="1" applyBorder="1"/>
    <xf numFmtId="0" fontId="5" fillId="8" borderId="1" xfId="0" applyFont="1" applyFill="1" applyBorder="1"/>
    <xf numFmtId="0" fontId="7" fillId="7" borderId="1" xfId="0" applyFont="1" applyFill="1" applyBorder="1" applyAlignment="1">
      <alignment horizontal="left"/>
    </xf>
    <xf numFmtId="0" fontId="5" fillId="4" borderId="1" xfId="0" applyFont="1" applyFill="1" applyBorder="1"/>
    <xf numFmtId="164" fontId="5" fillId="4" borderId="1" xfId="0" applyNumberFormat="1" applyFont="1" applyFill="1" applyBorder="1"/>
    <xf numFmtId="0" fontId="7" fillId="10" borderId="1" xfId="0" applyFont="1" applyFill="1" applyBorder="1"/>
    <xf numFmtId="0" fontId="6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</cellXfs>
  <cellStyles count="1">
    <cellStyle name="Normal" xfId="0" builtinId="0"/>
  </cellStyles>
  <dxfs count="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83CCEB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83CCEB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83CCEB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SECTION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EE-4977-B87F-932D224A6F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EE-4977-B87F-932D224A6F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EE-4977-B87F-932D224A6F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4EE-4977-B87F-932D224A6F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Dahboard!$B$27:$B$30</c:f>
              <c:strCache>
                <c:ptCount val="4"/>
                <c:pt idx="0">
                  <c:v>C</c:v>
                </c:pt>
                <c:pt idx="1">
                  <c:v>B</c:v>
                </c:pt>
                <c:pt idx="2">
                  <c:v>A</c:v>
                </c:pt>
                <c:pt idx="3">
                  <c:v>D</c:v>
                </c:pt>
              </c:strCache>
            </c:strRef>
          </c:cat>
          <c:val>
            <c:numRef>
              <c:f>Dahboard!$C$27:$C$30</c:f>
              <c:numCache>
                <c:formatCode>General</c:formatCode>
                <c:ptCount val="4"/>
                <c:pt idx="0">
                  <c:v>245</c:v>
                </c:pt>
                <c:pt idx="1">
                  <c:v>240</c:v>
                </c:pt>
                <c:pt idx="2">
                  <c:v>222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A-4F82-A8AC-4BF8F067DA0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18</xdr:row>
      <xdr:rowOff>126609</xdr:rowOff>
    </xdr:from>
    <xdr:to>
      <xdr:col>8</xdr:col>
      <xdr:colOff>919480</xdr:colOff>
      <xdr:row>33</xdr:row>
      <xdr:rowOff>172328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B1866E-9D41-CE77-2DCB-A61953278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" refreshedDate="45913.794162847225" createdVersion="8" refreshedVersion="8" minRefreshableVersion="3" recordCount="228" xr:uid="{B2A86B2B-4B30-4B24-9F4A-A352A91EE56F}">
  <cacheSource type="worksheet">
    <worksheetSource name="Table2"/>
  </cacheSource>
  <cacheFields count="15">
    <cacheField name="S.No" numFmtId="0">
      <sharedItems containsSemiMixedTypes="0" containsString="0" containsNumber="1" containsInteger="1" minValue="1" maxValue="228"/>
    </cacheField>
    <cacheField name="Registration No" numFmtId="0">
      <sharedItems/>
    </cacheField>
    <cacheField name="Section" numFmtId="0">
      <sharedItems count="4">
        <s v="A"/>
        <s v="B"/>
        <s v="C"/>
        <s v="D"/>
      </sharedItems>
    </cacheField>
    <cacheField name="Name" numFmtId="0">
      <sharedItems/>
    </cacheField>
    <cacheField name="User Type" numFmtId="0">
      <sharedItems/>
    </cacheField>
    <cacheField name="Pass Name" numFmtId="0">
      <sharedItems/>
    </cacheField>
    <cacheField name="No of passes Required" numFmtId="0">
      <sharedItems containsSemiMixedTypes="0" containsString="0" containsNumber="1" containsInteger="1" minValue="7" maxValue="7"/>
    </cacheField>
    <cacheField name="No of passes Purchased" numFmtId="0">
      <sharedItems containsSemiMixedTypes="0" containsString="0" containsNumber="1" containsInteger="1" minValue="0" maxValue="33"/>
    </cacheField>
    <cacheField name="No of passes Shared" numFmtId="0">
      <sharedItems containsSemiMixedTypes="0" containsString="0" containsNumber="1" containsInteger="1" minValue="0" maxValue="17"/>
    </cacheField>
    <cacheField name="No of passes Claimed" numFmtId="0">
      <sharedItems containsSemiMixedTypes="0" containsString="0" containsNumber="1" containsInteger="1" minValue="0" maxValue="17"/>
    </cacheField>
    <cacheField name="Referral Sales-verified one " numFmtId="0">
      <sharedItems containsSemiMixedTypes="0" containsString="0" containsNumber="1" containsInteger="1" minValue="0" maxValue="11"/>
    </cacheField>
    <cacheField name="Total Sales" numFmtId="0">
      <sharedItems containsSemiMixedTypes="0" containsString="0" containsNumber="1" containsInteger="1" minValue="0" maxValue="18"/>
    </cacheField>
    <cacheField name="Institute name" numFmtId="0">
      <sharedItems/>
    </cacheField>
    <cacheField name="Program name" numFmtId="0">
      <sharedItems/>
    </cacheField>
    <cacheField name="Batch name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n v="1"/>
    <s v="2024JULB00001"/>
    <x v="0"/>
    <s v="A DivyaSree"/>
    <s v="STUDENT"/>
    <s v="Kanyathon 2025"/>
    <n v="7"/>
    <n v="3"/>
    <n v="3"/>
    <n v="3"/>
    <n v="6"/>
    <n v="9"/>
    <s v="JAGSoM"/>
    <s v="PGDM"/>
    <n v="2024"/>
  </r>
  <r>
    <n v="2"/>
    <s v="2024JULB00002"/>
    <x v="0"/>
    <s v="Aaditya K"/>
    <s v="STUDENT"/>
    <s v="Kanyathon 2025"/>
    <n v="7"/>
    <n v="3"/>
    <n v="3"/>
    <n v="0"/>
    <n v="0"/>
    <n v="0"/>
    <s v="JAGSoM"/>
    <s v="PGDM"/>
    <n v="2024"/>
  </r>
  <r>
    <n v="3"/>
    <s v="2024JULB00003"/>
    <x v="0"/>
    <s v="Aanchal Sapra"/>
    <s v="STUDENT"/>
    <s v="Kanyathon 2025"/>
    <n v="7"/>
    <n v="0"/>
    <n v="0"/>
    <n v="0"/>
    <n v="0"/>
    <n v="0"/>
    <s v="JAGSoM"/>
    <s v="PGDM"/>
    <n v="2024"/>
  </r>
  <r>
    <n v="4"/>
    <s v="2024JULB00004"/>
    <x v="0"/>
    <s v="Abhinav B"/>
    <s v="STUDENT"/>
    <s v="Kanyathon 2025"/>
    <n v="7"/>
    <n v="6"/>
    <n v="6"/>
    <n v="6"/>
    <n v="0"/>
    <n v="6"/>
    <s v="JAGSoM"/>
    <s v="PGDM"/>
    <n v="2024"/>
  </r>
  <r>
    <n v="5"/>
    <s v="2024JULB00006"/>
    <x v="0"/>
    <s v="Abhyuday Tripathi"/>
    <s v="STUDENT"/>
    <s v="Kanyathon 2025"/>
    <n v="7"/>
    <n v="2"/>
    <n v="0"/>
    <n v="0"/>
    <n v="7"/>
    <n v="7"/>
    <s v="JAGSoM"/>
    <s v="PGDM"/>
    <n v="2024"/>
  </r>
  <r>
    <n v="6"/>
    <s v="2024JULB00007"/>
    <x v="0"/>
    <s v="Adarsh G"/>
    <s v="STUDENT"/>
    <s v="Kanyathon 2025"/>
    <n v="7"/>
    <n v="5"/>
    <n v="5"/>
    <n v="5"/>
    <n v="2"/>
    <n v="7"/>
    <s v="JAGSoM"/>
    <s v="PGDM"/>
    <n v="2024"/>
  </r>
  <r>
    <n v="7"/>
    <s v="2024JULB00009"/>
    <x v="0"/>
    <s v="Aditi Kumari"/>
    <s v="STUDENT"/>
    <s v="Kanyathon 2025"/>
    <n v="7"/>
    <n v="9"/>
    <n v="9"/>
    <n v="9"/>
    <n v="3"/>
    <n v="12"/>
    <s v="JAGSoM"/>
    <s v="PGDM"/>
    <n v="2024"/>
  </r>
  <r>
    <n v="8"/>
    <s v="2024JULB00012"/>
    <x v="0"/>
    <s v="Akarsh Narain"/>
    <s v="STUDENT"/>
    <s v="Kanyathon 2025"/>
    <n v="7"/>
    <n v="2"/>
    <n v="2"/>
    <n v="2"/>
    <n v="0"/>
    <n v="2"/>
    <s v="JAGSoM"/>
    <s v="PGDM"/>
    <n v="2024"/>
  </r>
  <r>
    <n v="9"/>
    <s v="2024JULB00017"/>
    <x v="0"/>
    <s v="Anamitra Dutta"/>
    <s v="STUDENT"/>
    <s v="Kanyathon 2025"/>
    <n v="7"/>
    <n v="7"/>
    <n v="7"/>
    <n v="7"/>
    <n v="0"/>
    <n v="7"/>
    <s v="JAGSoM"/>
    <s v="PGDM"/>
    <n v="2024"/>
  </r>
  <r>
    <n v="10"/>
    <s v="2024JULB00021"/>
    <x v="0"/>
    <s v="Aniket Inani"/>
    <s v="STUDENT"/>
    <s v="Kanyathon 2025"/>
    <n v="7"/>
    <n v="2"/>
    <n v="2"/>
    <n v="2"/>
    <n v="0"/>
    <n v="2"/>
    <s v="JAGSoM"/>
    <s v="PGDM"/>
    <n v="2024"/>
  </r>
  <r>
    <n v="11"/>
    <s v="2024JULB00023"/>
    <x v="0"/>
    <s v="Anushk Goel"/>
    <s v="STUDENT"/>
    <s v="Kanyathon 2025"/>
    <n v="7"/>
    <n v="0"/>
    <n v="0"/>
    <n v="0"/>
    <n v="1"/>
    <n v="1"/>
    <s v="JAGSoM"/>
    <s v="PGDM"/>
    <n v="2024"/>
  </r>
  <r>
    <n v="12"/>
    <s v="2024JULB00024"/>
    <x v="0"/>
    <s v="Apoorwa Mishra"/>
    <s v="STUDENT"/>
    <s v="Kanyathon 2025"/>
    <n v="7"/>
    <n v="0"/>
    <n v="0"/>
    <n v="0"/>
    <n v="1"/>
    <n v="1"/>
    <s v="JAGSoM"/>
    <s v="PGDM"/>
    <n v="2024"/>
  </r>
  <r>
    <n v="13"/>
    <s v="2024JULB00202"/>
    <x v="0"/>
    <s v="Arnav Rastogi"/>
    <s v="STUDENT"/>
    <s v="Kanyathon 2025"/>
    <n v="7"/>
    <n v="0"/>
    <n v="0"/>
    <n v="0"/>
    <n v="0"/>
    <n v="0"/>
    <s v="JAGSoM"/>
    <s v="PGDM"/>
    <n v="2024"/>
  </r>
  <r>
    <n v="14"/>
    <s v="2024JULB00027"/>
    <x v="0"/>
    <s v="Aryan Atreya"/>
    <s v="STUDENT"/>
    <s v="Kanyathon 2025"/>
    <n v="7"/>
    <n v="4"/>
    <n v="4"/>
    <n v="4"/>
    <n v="0"/>
    <n v="4"/>
    <s v="JAGSoM"/>
    <s v="PGDM"/>
    <n v="2024"/>
  </r>
  <r>
    <n v="15"/>
    <s v="2024JULB00029"/>
    <x v="0"/>
    <s v="Aryan Trivedi"/>
    <s v="STUDENT"/>
    <s v="Kanyathon 2025"/>
    <n v="7"/>
    <n v="3"/>
    <n v="2"/>
    <n v="2"/>
    <n v="1"/>
    <n v="3"/>
    <s v="JAGSoM"/>
    <s v="PGDM"/>
    <n v="2024"/>
  </r>
  <r>
    <n v="16"/>
    <s v="2024JULB00033"/>
    <x v="0"/>
    <s v="Ashwin Bhaskar"/>
    <s v="STUDENT"/>
    <s v="Kanyathon 2025"/>
    <n v="7"/>
    <n v="0"/>
    <n v="0"/>
    <n v="0"/>
    <n v="0"/>
    <n v="0"/>
    <s v="JAGSoM"/>
    <s v="PGDM"/>
    <n v="2024"/>
  </r>
  <r>
    <n v="17"/>
    <s v="2024JULB00037"/>
    <x v="0"/>
    <s v="Bhavik Puri"/>
    <s v="STUDENT"/>
    <s v="Kanyathon 2025"/>
    <n v="7"/>
    <n v="0"/>
    <n v="0"/>
    <n v="0"/>
    <n v="0"/>
    <n v="0"/>
    <s v="JAGSoM"/>
    <s v="PGDM"/>
    <n v="2024"/>
  </r>
  <r>
    <n v="18"/>
    <s v="2024JULB00038"/>
    <x v="0"/>
    <s v="Bibek KumarMuduli"/>
    <s v="STUDENT"/>
    <s v="Kanyathon 2025"/>
    <n v="7"/>
    <n v="0"/>
    <n v="0"/>
    <n v="0"/>
    <n v="0"/>
    <n v="0"/>
    <s v="JAGSoM"/>
    <s v="PGDM"/>
    <n v="2024"/>
  </r>
  <r>
    <n v="19"/>
    <s v="2024JULB00041"/>
    <x v="0"/>
    <s v="C Divyashree"/>
    <s v="STUDENT"/>
    <s v="Kanyathon 2025"/>
    <n v="7"/>
    <n v="2"/>
    <n v="2"/>
    <n v="2"/>
    <n v="2"/>
    <n v="4"/>
    <s v="JAGSoM"/>
    <s v="PGDM"/>
    <n v="2024"/>
  </r>
  <r>
    <n v="20"/>
    <s v="2024JULB00044"/>
    <x v="0"/>
    <s v="Chirag Bhardwaj"/>
    <s v="STUDENT"/>
    <s v="Kanyathon 2025"/>
    <n v="7"/>
    <n v="0"/>
    <n v="0"/>
    <n v="0"/>
    <n v="2"/>
    <n v="2"/>
    <s v="JAGSoM"/>
    <s v="PGDM"/>
    <n v="2024"/>
  </r>
  <r>
    <n v="21"/>
    <s v="2024JULB00049"/>
    <x v="0"/>
    <s v="Deepak Birthare"/>
    <s v="STUDENT"/>
    <s v="Kanyathon 2025"/>
    <n v="7"/>
    <n v="0"/>
    <n v="0"/>
    <n v="0"/>
    <n v="0"/>
    <n v="0"/>
    <s v="JAGSoM"/>
    <s v="PGDM"/>
    <n v="2024"/>
  </r>
  <r>
    <n v="22"/>
    <s v="2024JULB00221"/>
    <x v="0"/>
    <s v="Dhruban Talukdar"/>
    <s v="STUDENT"/>
    <s v="Kanyathon 2025"/>
    <n v="7"/>
    <n v="1"/>
    <n v="1"/>
    <n v="1"/>
    <n v="0"/>
    <n v="1"/>
    <s v="JAGSoM"/>
    <s v="PGDM"/>
    <n v="2024"/>
  </r>
  <r>
    <n v="23"/>
    <s v="2024JULB00055"/>
    <x v="0"/>
    <s v="Divyam Sood"/>
    <s v="STUDENT"/>
    <s v="Kanyathon 2025"/>
    <n v="7"/>
    <n v="5"/>
    <n v="5"/>
    <n v="5"/>
    <n v="0"/>
    <n v="5"/>
    <s v="JAGSoM"/>
    <s v="PGDM"/>
    <n v="2024"/>
  </r>
  <r>
    <n v="24"/>
    <s v="2024JULB00056"/>
    <x v="0"/>
    <s v="Elina Mahanta"/>
    <s v="STUDENT"/>
    <s v="Kanyathon 2025"/>
    <n v="7"/>
    <n v="5"/>
    <n v="5"/>
    <n v="5"/>
    <n v="2"/>
    <n v="7"/>
    <s v="JAGSoM"/>
    <s v="PGDM"/>
    <n v="2024"/>
  </r>
  <r>
    <n v="25"/>
    <s v="2024JULB00059"/>
    <x v="0"/>
    <s v="G TharnathReddy"/>
    <s v="STUDENT"/>
    <s v="Kanyathon 2025"/>
    <n v="7"/>
    <n v="7"/>
    <n v="7"/>
    <n v="7"/>
    <n v="0"/>
    <n v="7"/>
    <s v="JAGSoM"/>
    <s v="PGDM"/>
    <n v="2024"/>
  </r>
  <r>
    <n v="26"/>
    <s v="2024JULB00062"/>
    <x v="0"/>
    <s v="Harish KumarR"/>
    <s v="STUDENT"/>
    <s v="Kanyathon 2025"/>
    <n v="7"/>
    <n v="0"/>
    <n v="0"/>
    <n v="0"/>
    <n v="1"/>
    <n v="1"/>
    <s v="JAGSoM"/>
    <s v="PGDM"/>
    <n v="2024"/>
  </r>
  <r>
    <n v="27"/>
    <s v="2024JULB00230"/>
    <x v="0"/>
    <s v="Jaladi BlessySusanthika"/>
    <s v="STUDENT"/>
    <s v="Kanyathon 2025"/>
    <n v="7"/>
    <n v="4"/>
    <n v="4"/>
    <n v="4"/>
    <n v="0"/>
    <n v="4"/>
    <s v="JAGSoM"/>
    <s v="PGDM"/>
    <n v="2024"/>
  </r>
  <r>
    <n v="28"/>
    <s v="2024JULB00071"/>
    <x v="0"/>
    <s v="Jyoti Sahoo"/>
    <s v="STUDENT"/>
    <s v="Kanyathon 2025"/>
    <n v="7"/>
    <n v="4"/>
    <n v="4"/>
    <n v="4"/>
    <n v="2"/>
    <n v="6"/>
    <s v="JAGSoM"/>
    <s v="PGDM"/>
    <n v="2024"/>
  </r>
  <r>
    <n v="29"/>
    <s v="2024JULB00074"/>
    <x v="0"/>
    <s v="Karan Kashyap"/>
    <s v="STUDENT"/>
    <s v="Kanyathon 2025"/>
    <n v="7"/>
    <n v="1"/>
    <n v="1"/>
    <n v="1"/>
    <n v="4"/>
    <n v="5"/>
    <s v="JAGSoM"/>
    <s v="PGDM"/>
    <n v="2024"/>
  </r>
  <r>
    <n v="30"/>
    <s v="2024JULB00075"/>
    <x v="0"/>
    <s v="Kartheek SuryaDevarapalli"/>
    <s v="STUDENT"/>
    <s v="Kanyathon 2025"/>
    <n v="7"/>
    <n v="6"/>
    <n v="6"/>
    <n v="4"/>
    <n v="2"/>
    <n v="6"/>
    <s v="JAGSoM"/>
    <s v="PGDM"/>
    <n v="2024"/>
  </r>
  <r>
    <n v="31"/>
    <s v="2024JULB00076"/>
    <x v="0"/>
    <s v="Karthik Gr"/>
    <s v="STUDENT"/>
    <s v="Kanyathon 2025"/>
    <n v="7"/>
    <n v="1"/>
    <n v="1"/>
    <n v="1"/>
    <n v="4"/>
    <n v="5"/>
    <s v="JAGSoM"/>
    <s v="PGDM"/>
    <n v="2024"/>
  </r>
  <r>
    <n v="32"/>
    <s v="2024JULB00078"/>
    <x v="0"/>
    <s v="Keshav Dhoot"/>
    <s v="STUDENT"/>
    <s v="Kanyathon 2025"/>
    <n v="7"/>
    <n v="2"/>
    <n v="2"/>
    <n v="2"/>
    <n v="0"/>
    <n v="2"/>
    <s v="JAGSoM"/>
    <s v="PGDM"/>
    <n v="2024"/>
  </r>
  <r>
    <n v="33"/>
    <s v="2024JULB00081"/>
    <x v="0"/>
    <s v="Krish Chakraborty"/>
    <s v="STUDENT"/>
    <s v="Kanyathon 2025"/>
    <n v="7"/>
    <n v="3"/>
    <n v="3"/>
    <n v="3"/>
    <n v="0"/>
    <n v="3"/>
    <s v="JAGSoM"/>
    <s v="PGDM"/>
    <n v="2024"/>
  </r>
  <r>
    <n v="34"/>
    <s v="2024JULB00086"/>
    <x v="0"/>
    <s v="Lakshita Chandak"/>
    <s v="STUDENT"/>
    <s v="Kanyathon 2025"/>
    <n v="7"/>
    <n v="0"/>
    <n v="0"/>
    <n v="0"/>
    <n v="0"/>
    <n v="0"/>
    <s v="JAGSoM"/>
    <s v="PGDM"/>
    <n v="2024"/>
  </r>
  <r>
    <n v="35"/>
    <s v="2024JULB00088"/>
    <x v="0"/>
    <s v="Leena D"/>
    <s v="STUDENT"/>
    <s v="Kanyathon 2025"/>
    <n v="7"/>
    <n v="6"/>
    <n v="6"/>
    <n v="6"/>
    <n v="0"/>
    <n v="6"/>
    <s v="JAGSoM"/>
    <s v="PGDM"/>
    <n v="2024"/>
  </r>
  <r>
    <n v="36"/>
    <s v="2024JULB00195"/>
    <x v="0"/>
    <s v="Nikhitha SriyaPottangi"/>
    <s v="STUDENT"/>
    <s v="Kanyathon 2025"/>
    <n v="7"/>
    <n v="0"/>
    <n v="0"/>
    <n v="0"/>
    <n v="0"/>
    <n v="0"/>
    <s v="JAGSoM"/>
    <s v="PGDM"/>
    <n v="2024"/>
  </r>
  <r>
    <n v="37"/>
    <s v="2024JULB00102"/>
    <x v="0"/>
    <s v="Niranjana Hari"/>
    <s v="STUDENT"/>
    <s v="Kanyathon 2025"/>
    <n v="7"/>
    <n v="3"/>
    <n v="3"/>
    <n v="3"/>
    <n v="0"/>
    <n v="3"/>
    <s v="JAGSoM"/>
    <s v="PGDM"/>
    <n v="2024"/>
  </r>
  <r>
    <n v="38"/>
    <s v="2024JULB00103"/>
    <x v="0"/>
    <s v="Nishant Mishra"/>
    <s v="STUDENT"/>
    <s v="Kanyathon 2025"/>
    <n v="7"/>
    <n v="5"/>
    <n v="3"/>
    <n v="1"/>
    <n v="0"/>
    <n v="1"/>
    <s v="JAGSoM"/>
    <s v="PGDM"/>
    <n v="2024"/>
  </r>
  <r>
    <n v="39"/>
    <s v="2024JULB00105"/>
    <x v="0"/>
    <s v="Nithish Yuvaraj"/>
    <s v="STUDENT"/>
    <s v="Kanyathon 2025"/>
    <n v="7"/>
    <n v="4"/>
    <n v="4"/>
    <n v="4"/>
    <n v="0"/>
    <n v="4"/>
    <s v="JAGSoM"/>
    <s v="PGDM"/>
    <n v="2024"/>
  </r>
  <r>
    <n v="40"/>
    <s v="2024JULB00108"/>
    <x v="0"/>
    <s v="Pooja .S"/>
    <s v="STUDENT"/>
    <s v="Kanyathon 2025"/>
    <n v="7"/>
    <n v="1"/>
    <n v="1"/>
    <n v="1"/>
    <n v="1"/>
    <n v="2"/>
    <s v="JAGSoM"/>
    <s v="PGDM"/>
    <n v="2024"/>
  </r>
  <r>
    <n v="41"/>
    <s v="2024JULB00109"/>
    <x v="0"/>
    <s v="Poulami Sarkar"/>
    <s v="STUDENT"/>
    <s v="Kanyathon 2025"/>
    <n v="7"/>
    <n v="4"/>
    <n v="4"/>
    <n v="4"/>
    <n v="1"/>
    <n v="5"/>
    <s v="JAGSoM"/>
    <s v="PGDM"/>
    <n v="2024"/>
  </r>
  <r>
    <n v="42"/>
    <s v="2024JULB00110"/>
    <x v="0"/>
    <s v="Prachi Chauhan"/>
    <s v="STUDENT"/>
    <s v="Kanyathon 2025"/>
    <n v="7"/>
    <n v="0"/>
    <n v="0"/>
    <n v="0"/>
    <n v="0"/>
    <n v="0"/>
    <s v="JAGSoM"/>
    <s v="PGDM"/>
    <n v="2024"/>
  </r>
  <r>
    <n v="43"/>
    <s v="2024JULB00113"/>
    <x v="0"/>
    <s v="Prajwal PKulkarni"/>
    <s v="STUDENT"/>
    <s v="Kanyathon 2025"/>
    <n v="7"/>
    <n v="7"/>
    <n v="7"/>
    <n v="7"/>
    <n v="0"/>
    <n v="7"/>
    <s v="JAGSoM"/>
    <s v="PGDM"/>
    <n v="2024"/>
  </r>
  <r>
    <n v="44"/>
    <s v="2024JULB00129"/>
    <x v="0"/>
    <s v="Prithviraj Srinivasan"/>
    <s v="STUDENT"/>
    <s v="Kanyathon 2025"/>
    <n v="7"/>
    <n v="4"/>
    <n v="3"/>
    <n v="3"/>
    <n v="0"/>
    <n v="3"/>
    <s v="JAGSoM"/>
    <s v="PGDM"/>
    <n v="2024"/>
  </r>
  <r>
    <n v="45"/>
    <s v="2024JULB00116"/>
    <x v="0"/>
    <s v="Pushkar Dey"/>
    <s v="STUDENT"/>
    <s v="Kanyathon 2025"/>
    <n v="7"/>
    <n v="8"/>
    <n v="8"/>
    <n v="8"/>
    <n v="4"/>
    <n v="12"/>
    <s v="JAGSoM"/>
    <s v="PGDM"/>
    <n v="2024"/>
  </r>
  <r>
    <n v="46"/>
    <s v="2024JULB00212"/>
    <x v="0"/>
    <s v="Rajnish Kumar"/>
    <s v="STUDENT"/>
    <s v="Kanyathon 2025"/>
    <n v="7"/>
    <n v="0"/>
    <n v="0"/>
    <n v="0"/>
    <n v="0"/>
    <n v="0"/>
    <s v="JAGSoM"/>
    <s v="PGDM"/>
    <n v="2024"/>
  </r>
  <r>
    <n v="47"/>
    <s v="2024JULB00251"/>
    <x v="0"/>
    <s v="Rishi RajYadav"/>
    <s v="STUDENT"/>
    <s v="Kanyathon 2025"/>
    <n v="7"/>
    <n v="0"/>
    <n v="0"/>
    <n v="0"/>
    <n v="0"/>
    <n v="0"/>
    <s v="JAGSoM"/>
    <s v="PGDM"/>
    <n v="2024"/>
  </r>
  <r>
    <n v="48"/>
    <s v="2024JULB00123"/>
    <x v="0"/>
    <s v="Rishik ChandraPasupuleti"/>
    <s v="STUDENT"/>
    <s v="Kanyathon 2025"/>
    <n v="7"/>
    <n v="7"/>
    <n v="7"/>
    <n v="7"/>
    <n v="0"/>
    <n v="7"/>
    <s v="JAGSoM"/>
    <s v="PGDM"/>
    <n v="2024"/>
  </r>
  <r>
    <n v="49"/>
    <s v="2024JULB00126"/>
    <x v="0"/>
    <s v="Riya Rose"/>
    <s v="STUDENT"/>
    <s v="Kanyathon 2025"/>
    <n v="7"/>
    <n v="0"/>
    <n v="0"/>
    <n v="0"/>
    <n v="7"/>
    <n v="7"/>
    <s v="JAGSoM"/>
    <s v="PGDM"/>
    <n v="2024"/>
  </r>
  <r>
    <n v="50"/>
    <s v="2024JULB00130"/>
    <x v="0"/>
    <s v="Sadya Anwar"/>
    <s v="STUDENT"/>
    <s v="Kanyathon 2025"/>
    <n v="7"/>
    <n v="3"/>
    <n v="3"/>
    <n v="3"/>
    <n v="11"/>
    <n v="14"/>
    <s v="JAGSoM"/>
    <s v="PGDM"/>
    <n v="2024"/>
  </r>
  <r>
    <n v="51"/>
    <s v="2024JULB00187"/>
    <x v="0"/>
    <s v="Sejal Negi"/>
    <s v="STUDENT"/>
    <s v="Kanyathon 2025"/>
    <n v="7"/>
    <n v="3"/>
    <n v="3"/>
    <n v="2"/>
    <n v="0"/>
    <n v="2"/>
    <s v="JAGSoM"/>
    <s v="PGDM"/>
    <n v="2024"/>
  </r>
  <r>
    <n v="52"/>
    <s v="2024JULB00138"/>
    <x v="0"/>
    <s v="Shankar Vyas"/>
    <s v="STUDENT"/>
    <s v="Kanyathon 2025"/>
    <n v="7"/>
    <n v="2"/>
    <n v="2"/>
    <n v="2"/>
    <n v="0"/>
    <n v="2"/>
    <s v="JAGSoM"/>
    <s v="PGDM"/>
    <n v="2024"/>
  </r>
  <r>
    <n v="53"/>
    <s v="2024JULB00148"/>
    <x v="0"/>
    <s v="Shubham Goel"/>
    <s v="STUDENT"/>
    <s v="Kanyathon 2025"/>
    <n v="7"/>
    <n v="2"/>
    <n v="0"/>
    <n v="0"/>
    <n v="0"/>
    <n v="0"/>
    <s v="JAGSoM"/>
    <s v="PGDM"/>
    <n v="2024"/>
  </r>
  <r>
    <n v="54"/>
    <s v="2024JULB00152"/>
    <x v="0"/>
    <s v="Snehith Samala"/>
    <s v="STUDENT"/>
    <s v="Kanyathon 2025"/>
    <n v="7"/>
    <n v="1"/>
    <n v="1"/>
    <n v="1"/>
    <n v="7"/>
    <n v="8"/>
    <s v="JAGSoM"/>
    <s v="PGDM"/>
    <n v="2024"/>
  </r>
  <r>
    <n v="55"/>
    <s v="2024JULB00185"/>
    <x v="0"/>
    <s v="Souvik Biswas"/>
    <s v="STUDENT"/>
    <s v="Kanyathon 2025"/>
    <n v="7"/>
    <n v="1"/>
    <n v="1"/>
    <n v="1"/>
    <n v="0"/>
    <n v="1"/>
    <s v="JAGSoM"/>
    <s v="PGDM"/>
    <n v="2024"/>
  </r>
  <r>
    <n v="56"/>
    <s v="2024JULB00158"/>
    <x v="0"/>
    <s v="Sree Nithish"/>
    <s v="STUDENT"/>
    <s v="Kanyathon 2025"/>
    <n v="7"/>
    <n v="3"/>
    <n v="3"/>
    <n v="3"/>
    <n v="0"/>
    <n v="3"/>
    <s v="JAGSoM"/>
    <s v="PGDM"/>
    <n v="2024"/>
  </r>
  <r>
    <n v="57"/>
    <s v="2024JULB00160"/>
    <x v="0"/>
    <s v="Srishti"/>
    <s v="STUDENT"/>
    <s v="Kanyathon 2025"/>
    <n v="7"/>
    <n v="0"/>
    <n v="0"/>
    <n v="0"/>
    <n v="0"/>
    <n v="0"/>
    <s v="JAGSoM"/>
    <s v="PGDM"/>
    <n v="2024"/>
  </r>
  <r>
    <n v="58"/>
    <s v="2024JULB00161"/>
    <x v="0"/>
    <s v="Subham KumarSahana"/>
    <s v="STUDENT"/>
    <s v="Kanyathon 2025"/>
    <n v="7"/>
    <n v="0"/>
    <n v="0"/>
    <n v="0"/>
    <n v="0"/>
    <n v="0"/>
    <s v="JAGSoM"/>
    <s v="PGDM"/>
    <n v="2024"/>
  </r>
  <r>
    <n v="59"/>
    <s v="2024JULB00171"/>
    <x v="0"/>
    <s v="Thribhuvan Gowda"/>
    <s v="STUDENT"/>
    <s v="Kanyathon 2025"/>
    <n v="7"/>
    <n v="0"/>
    <n v="0"/>
    <n v="0"/>
    <n v="4"/>
    <n v="4"/>
    <s v="JAGSoM"/>
    <s v="PGDM"/>
    <n v="2024"/>
  </r>
  <r>
    <n v="60"/>
    <s v="2024JULB00216"/>
    <x v="0"/>
    <s v="Vanshita Bali"/>
    <s v="STUDENT"/>
    <s v="Kanyathon 2025"/>
    <n v="7"/>
    <n v="0"/>
    <n v="0"/>
    <n v="0"/>
    <n v="0"/>
    <n v="0"/>
    <s v="JAGSoM"/>
    <s v="PGDM"/>
    <n v="2024"/>
  </r>
  <r>
    <n v="61"/>
    <s v="2024JULB00201"/>
    <x v="0"/>
    <s v="Varun Thampi"/>
    <s v="STUDENT"/>
    <s v="Kanyathon 2025"/>
    <n v="7"/>
    <n v="4"/>
    <n v="4"/>
    <n v="1"/>
    <n v="0"/>
    <n v="1"/>
    <s v="JAGSoM"/>
    <s v="PGDM"/>
    <n v="2024"/>
  </r>
  <r>
    <n v="62"/>
    <s v="2024JULB00179"/>
    <x v="0"/>
    <s v="Veeraj VasuPoojari"/>
    <s v="STUDENT"/>
    <s v="Kanyathon 2025"/>
    <n v="7"/>
    <n v="8"/>
    <n v="8"/>
    <n v="8"/>
    <n v="0"/>
    <n v="8"/>
    <s v="JAGSoM"/>
    <s v="PGDM"/>
    <n v="2024"/>
  </r>
  <r>
    <n v="63"/>
    <s v="2024JULB00182"/>
    <x v="0"/>
    <s v="Weslinraj WeslinRaj"/>
    <s v="STUDENT"/>
    <s v="Kanyathon 2025"/>
    <n v="7"/>
    <n v="3"/>
    <n v="3"/>
    <n v="3"/>
    <n v="0"/>
    <n v="3"/>
    <s v="JAGSoM"/>
    <s v="PGDM"/>
    <n v="2024"/>
  </r>
  <r>
    <n v="64"/>
    <s v="2024JULB00184"/>
    <x v="0"/>
    <s v="Yash Sen"/>
    <s v="STUDENT"/>
    <s v="Kanyathon 2025"/>
    <n v="7"/>
    <n v="0"/>
    <n v="0"/>
    <n v="0"/>
    <n v="0"/>
    <n v="0"/>
    <s v="JAGSoM"/>
    <s v="PGDM"/>
    <n v="2024"/>
  </r>
  <r>
    <n v="65"/>
    <s v="2024JULB00194"/>
    <x v="1"/>
    <s v="Aditya YuvrajSingh Ranawat"/>
    <s v="STUDENT"/>
    <s v="Kanyathon 2025"/>
    <n v="7"/>
    <n v="2"/>
    <n v="2"/>
    <n v="2"/>
    <n v="0"/>
    <n v="2"/>
    <s v="JAGSoM"/>
    <s v="PGDM"/>
    <n v="2024"/>
  </r>
  <r>
    <n v="66"/>
    <s v="2024JULB00013"/>
    <x v="1"/>
    <s v="Akshat Singh"/>
    <s v="STUDENT"/>
    <s v="Kanyathon 2025"/>
    <n v="7"/>
    <n v="1"/>
    <n v="1"/>
    <n v="1"/>
    <n v="0"/>
    <n v="1"/>
    <s v="JAGSoM"/>
    <s v="PGDM"/>
    <n v="2024"/>
  </r>
  <r>
    <n v="67"/>
    <s v="2024JULB00014"/>
    <x v="1"/>
    <s v="Amal ShibuBalan"/>
    <s v="STUDENT"/>
    <s v="Kanyathon 2025"/>
    <n v="7"/>
    <n v="2"/>
    <n v="2"/>
    <n v="2"/>
    <n v="2"/>
    <n v="4"/>
    <s v="JAGSoM"/>
    <s v="PGDM"/>
    <n v="2024"/>
  </r>
  <r>
    <n v="68"/>
    <s v="2024JULB00019"/>
    <x v="1"/>
    <s v="Anantaa Paul"/>
    <s v="STUDENT"/>
    <s v="Kanyathon 2025"/>
    <n v="7"/>
    <n v="2"/>
    <n v="2"/>
    <n v="0"/>
    <n v="0"/>
    <n v="0"/>
    <s v="JAGSoM"/>
    <s v="PGDM"/>
    <n v="2024"/>
  </r>
  <r>
    <n v="69"/>
    <s v="2024JULB00224"/>
    <x v="1"/>
    <s v="Aniket Raj"/>
    <s v="STUDENT"/>
    <s v="Kanyathon 2025"/>
    <n v="7"/>
    <n v="2"/>
    <n v="1"/>
    <n v="1"/>
    <n v="0"/>
    <n v="1"/>
    <s v="JAGSoM"/>
    <s v="PGDM"/>
    <n v="2024"/>
  </r>
  <r>
    <n v="70"/>
    <s v="2024JULB00203"/>
    <x v="1"/>
    <s v="Anshumann SinghSisodiya"/>
    <s v="STUDENT"/>
    <s v="Kanyathon 2025"/>
    <n v="7"/>
    <n v="3"/>
    <n v="3"/>
    <n v="3"/>
    <n v="0"/>
    <n v="3"/>
    <s v="JAGSoM"/>
    <s v="PGDM"/>
    <n v="2024"/>
  </r>
  <r>
    <n v="71"/>
    <s v="2024JULB00241"/>
    <x v="1"/>
    <s v="Anu Kumari"/>
    <s v="STUDENT"/>
    <s v="Kanyathon 2025"/>
    <n v="7"/>
    <n v="1"/>
    <n v="1"/>
    <n v="1"/>
    <n v="0"/>
    <n v="1"/>
    <s v="JAGSoM"/>
    <s v="PGDM"/>
    <n v="2024"/>
  </r>
  <r>
    <n v="72"/>
    <s v="2024JULB00205"/>
    <x v="1"/>
    <s v="Archa SLal"/>
    <s v="STUDENT"/>
    <s v="Kanyathon 2025"/>
    <n v="7"/>
    <n v="5"/>
    <n v="5"/>
    <n v="5"/>
    <n v="1"/>
    <n v="6"/>
    <s v="JAGSoM"/>
    <s v="PGDM"/>
    <n v="2024"/>
  </r>
  <r>
    <n v="73"/>
    <s v="2024JULB00025"/>
    <x v="1"/>
    <s v="Arit Roy"/>
    <s v="STUDENT"/>
    <s v="Kanyathon 2025"/>
    <n v="7"/>
    <n v="0"/>
    <n v="0"/>
    <n v="0"/>
    <n v="2"/>
    <n v="2"/>
    <s v="JAGSoM"/>
    <s v="PGDM"/>
    <n v="2024"/>
  </r>
  <r>
    <n v="74"/>
    <s v="2024JULB00026"/>
    <x v="1"/>
    <s v="Arush Mangal"/>
    <s v="STUDENT"/>
    <s v="Kanyathon 2025"/>
    <n v="7"/>
    <n v="3"/>
    <n v="3"/>
    <n v="3"/>
    <n v="0"/>
    <n v="3"/>
    <s v="JAGSoM"/>
    <s v="PGDM"/>
    <n v="2024"/>
  </r>
  <r>
    <n v="75"/>
    <s v="2024JULB00028"/>
    <x v="1"/>
    <s v="Aryan Balapure"/>
    <s v="STUDENT"/>
    <s v="Kanyathon 2025"/>
    <n v="7"/>
    <n v="0"/>
    <n v="0"/>
    <n v="0"/>
    <n v="2"/>
    <n v="2"/>
    <s v="JAGSoM"/>
    <s v="PGDM"/>
    <n v="2024"/>
  </r>
  <r>
    <n v="76"/>
    <s v="2024JULB00030"/>
    <x v="1"/>
    <s v="Ashish AbrahamJohn"/>
    <s v="STUDENT"/>
    <s v="Kanyathon 2025"/>
    <n v="7"/>
    <n v="3"/>
    <n v="3"/>
    <n v="3"/>
    <n v="0"/>
    <n v="3"/>
    <s v="JAGSoM"/>
    <s v="PGDM"/>
    <n v="2024"/>
  </r>
  <r>
    <n v="77"/>
    <s v="2024JULB00032"/>
    <x v="1"/>
    <s v="Ashutosh Sharan"/>
    <s v="STUDENT"/>
    <s v="Kanyathon 2025"/>
    <n v="7"/>
    <n v="4"/>
    <n v="4"/>
    <n v="4"/>
    <n v="3"/>
    <n v="7"/>
    <s v="JAGSoM"/>
    <s v="PGDM"/>
    <n v="2024"/>
  </r>
  <r>
    <n v="78"/>
    <s v="2024JULB00039"/>
    <x v="1"/>
    <s v="Bipasha Mandal"/>
    <s v="STUDENT"/>
    <s v="Kanyathon 2025"/>
    <n v="7"/>
    <n v="12"/>
    <n v="12"/>
    <n v="12"/>
    <n v="0"/>
    <n v="12"/>
    <s v="JAGSoM"/>
    <s v="PGDM"/>
    <n v="2024"/>
  </r>
  <r>
    <n v="79"/>
    <s v="2024JULB00040"/>
    <x v="1"/>
    <s v="Bonula Pravallika"/>
    <s v="STUDENT"/>
    <s v="Kanyathon 2025"/>
    <n v="7"/>
    <n v="4"/>
    <n v="4"/>
    <n v="4"/>
    <n v="1"/>
    <n v="5"/>
    <s v="JAGSoM"/>
    <s v="PGDM"/>
    <n v="2024"/>
  </r>
  <r>
    <n v="80"/>
    <s v="2024JULB00042"/>
    <x v="1"/>
    <s v="Chaitya SwaroopSahu"/>
    <s v="STUDENT"/>
    <s v="Kanyathon 2025"/>
    <n v="7"/>
    <n v="1"/>
    <n v="1"/>
    <n v="1"/>
    <n v="0"/>
    <n v="1"/>
    <s v="JAGSoM"/>
    <s v="PGDM"/>
    <n v="2024"/>
  </r>
  <r>
    <n v="81"/>
    <s v="2024JULB00047"/>
    <x v="1"/>
    <s v="Debotree Roy"/>
    <s v="STUDENT"/>
    <s v="Kanyathon 2025"/>
    <n v="7"/>
    <n v="5"/>
    <n v="5"/>
    <n v="5"/>
    <n v="0"/>
    <n v="5"/>
    <s v="JAGSoM"/>
    <s v="PGDM"/>
    <n v="2024"/>
  </r>
  <r>
    <n v="82"/>
    <s v="2024JULB00054"/>
    <x v="1"/>
    <s v="Divya Ashok"/>
    <s v="STUDENT"/>
    <s v="Kanyathon 2025"/>
    <n v="7"/>
    <n v="17"/>
    <n v="17"/>
    <n v="17"/>
    <n v="1"/>
    <n v="18"/>
    <s v="JAGSoM"/>
    <s v="PGDM"/>
    <n v="2024"/>
  </r>
  <r>
    <n v="83"/>
    <s v="2024JULB00057"/>
    <x v="1"/>
    <s v="Faizulhusen ANiaz"/>
    <s v="STUDENT"/>
    <s v="Kanyathon 2025"/>
    <n v="7"/>
    <n v="4"/>
    <n v="4"/>
    <n v="0"/>
    <n v="0"/>
    <n v="0"/>
    <s v="JAGSoM"/>
    <s v="PGDM"/>
    <n v="2024"/>
  </r>
  <r>
    <n v="84"/>
    <s v="2024JULB00060"/>
    <x v="1"/>
    <s v="Gagan C S"/>
    <s v="STUDENT"/>
    <s v="Kanyathon 2025"/>
    <n v="7"/>
    <n v="4"/>
    <n v="4"/>
    <n v="3"/>
    <n v="0"/>
    <n v="3"/>
    <s v="JAGSoM"/>
    <s v="PGDM"/>
    <n v="2024"/>
  </r>
  <r>
    <n v="85"/>
    <s v="2024JULB00208"/>
    <x v="1"/>
    <s v="Garima Sarraf"/>
    <s v="STUDENT"/>
    <s v="Kanyathon 2025"/>
    <n v="7"/>
    <n v="0"/>
    <n v="0"/>
    <n v="0"/>
    <n v="2"/>
    <n v="2"/>
    <s v="JAGSoM"/>
    <s v="PGDM"/>
    <n v="2024"/>
  </r>
  <r>
    <n v="86"/>
    <s v="2024JULB00063"/>
    <x v="1"/>
    <s v="Harshavarthni K S"/>
    <s v="STUDENT"/>
    <s v="Kanyathon 2025"/>
    <n v="7"/>
    <n v="6"/>
    <n v="6"/>
    <n v="6"/>
    <n v="0"/>
    <n v="6"/>
    <s v="JAGSoM"/>
    <s v="PGDM"/>
    <n v="2024"/>
  </r>
  <r>
    <n v="87"/>
    <s v="2024JULB00064"/>
    <x v="1"/>
    <s v="Hemant Prajapat"/>
    <s v="STUDENT"/>
    <s v="Kanyathon 2025"/>
    <n v="7"/>
    <n v="0"/>
    <n v="0"/>
    <n v="0"/>
    <n v="0"/>
    <n v="0"/>
    <s v="JAGSoM"/>
    <s v="PGDM"/>
    <n v="2024"/>
  </r>
  <r>
    <n v="88"/>
    <s v="2024JULB00065"/>
    <x v="1"/>
    <s v="Himanshu Chahar"/>
    <s v="STUDENT"/>
    <s v="Kanyathon 2025"/>
    <n v="7"/>
    <n v="4"/>
    <n v="3"/>
    <n v="3"/>
    <n v="0"/>
    <n v="3"/>
    <s v="JAGSoM"/>
    <s v="PGDM"/>
    <n v="2024"/>
  </r>
  <r>
    <n v="89"/>
    <s v="2024JULB00190"/>
    <x v="1"/>
    <s v="Himanshu Mall"/>
    <s v="STUDENT"/>
    <s v="Kanyathon 2025"/>
    <n v="7"/>
    <n v="7"/>
    <n v="7"/>
    <n v="6"/>
    <n v="0"/>
    <n v="6"/>
    <s v="JAGSoM"/>
    <s v="PGDM"/>
    <n v="2024"/>
  </r>
  <r>
    <n v="90"/>
    <s v="2024JULB00069"/>
    <x v="1"/>
    <s v="Jay Dwivedi"/>
    <s v="STUDENT"/>
    <s v="Kanyathon 2025"/>
    <n v="7"/>
    <n v="12"/>
    <n v="12"/>
    <n v="12"/>
    <n v="0"/>
    <n v="12"/>
    <s v="JAGSoM"/>
    <s v="PGDM"/>
    <n v="2024"/>
  </r>
  <r>
    <n v="91"/>
    <s v="2024JULB00188"/>
    <x v="1"/>
    <s v="Jigyasa Singh"/>
    <s v="STUDENT"/>
    <s v="Kanyathon 2025"/>
    <n v="7"/>
    <n v="3"/>
    <n v="3"/>
    <n v="3"/>
    <n v="1"/>
    <n v="4"/>
    <s v="JAGSoM"/>
    <s v="PGDM"/>
    <n v="2024"/>
  </r>
  <r>
    <n v="92"/>
    <s v="2024JULB00083"/>
    <x v="1"/>
    <s v="Kunal Khurana"/>
    <s v="STUDENT"/>
    <s v="Kanyathon 2025"/>
    <n v="7"/>
    <n v="0"/>
    <n v="0"/>
    <n v="0"/>
    <n v="0"/>
    <n v="0"/>
    <s v="JAGSoM"/>
    <s v="PGDM"/>
    <n v="2024"/>
  </r>
  <r>
    <n v="93"/>
    <s v="2024JULB00084"/>
    <x v="1"/>
    <s v="Kushal Badalia"/>
    <s v="STUDENT"/>
    <s v="Kanyathon 2025"/>
    <n v="7"/>
    <n v="7"/>
    <n v="7"/>
    <n v="7"/>
    <n v="0"/>
    <n v="7"/>
    <s v="JAGSoM"/>
    <s v="PGDM"/>
    <n v="2024"/>
  </r>
  <r>
    <n v="94"/>
    <s v="2024JULB00085"/>
    <x v="1"/>
    <s v="Kushal Srivastav"/>
    <s v="STUDENT"/>
    <s v="Kanyathon 2025"/>
    <n v="7"/>
    <n v="1"/>
    <n v="0"/>
    <n v="0"/>
    <n v="0"/>
    <n v="0"/>
    <s v="JAGSoM"/>
    <s v="PGDM"/>
    <n v="2024"/>
  </r>
  <r>
    <n v="95"/>
    <s v="2024JULB00090"/>
    <x v="1"/>
    <s v="M MaureenMandy"/>
    <s v="STUDENT"/>
    <s v="Kanyathon 2025"/>
    <n v="7"/>
    <n v="4"/>
    <n v="4"/>
    <n v="4"/>
    <n v="5"/>
    <n v="9"/>
    <s v="JAGSoM"/>
    <s v="PGDM"/>
    <n v="2024"/>
  </r>
  <r>
    <n v="96"/>
    <s v="2024JULB00091"/>
    <x v="1"/>
    <s v="Madhav Sharma"/>
    <s v="STUDENT"/>
    <s v="Kanyathon 2025"/>
    <n v="7"/>
    <n v="2"/>
    <n v="2"/>
    <n v="2"/>
    <n v="0"/>
    <n v="2"/>
    <s v="JAGSoM"/>
    <s v="PGDM"/>
    <n v="2024"/>
  </r>
  <r>
    <n v="97"/>
    <s v="2024JULB00200"/>
    <x v="1"/>
    <s v="Meghana JayaSatuluri"/>
    <s v="STUDENT"/>
    <s v="Kanyathon 2025"/>
    <n v="7"/>
    <n v="1"/>
    <n v="1"/>
    <n v="0"/>
    <n v="5"/>
    <n v="5"/>
    <s v="JAGSoM"/>
    <s v="PGDM"/>
    <n v="2024"/>
  </r>
  <r>
    <n v="98"/>
    <s v="2024JULB00099"/>
    <x v="1"/>
    <s v="Nandan GanapatiBhat"/>
    <s v="STUDENT"/>
    <s v="Kanyathon 2025"/>
    <n v="7"/>
    <n v="9"/>
    <n v="9"/>
    <n v="9"/>
    <n v="0"/>
    <n v="9"/>
    <s v="JAGSoM"/>
    <s v="PGDM"/>
    <n v="2024"/>
  </r>
  <r>
    <n v="99"/>
    <s v="2024JULB00106"/>
    <x v="1"/>
    <s v="O K Srivyshnu"/>
    <s v="STUDENT"/>
    <s v="Kanyathon 2025"/>
    <n v="7"/>
    <n v="7"/>
    <n v="6"/>
    <n v="6"/>
    <n v="0"/>
    <n v="6"/>
    <s v="JAGSoM"/>
    <s v="PGDM"/>
    <n v="2024"/>
  </r>
  <r>
    <n v="100"/>
    <s v="2024JULB00114"/>
    <x v="1"/>
    <s v="Prince Kumar"/>
    <s v="STUDENT"/>
    <s v="Kanyathon 2025"/>
    <n v="7"/>
    <n v="0"/>
    <n v="0"/>
    <n v="0"/>
    <n v="2"/>
    <n v="2"/>
    <s v="JAGSoM"/>
    <s v="PGDM"/>
    <n v="2024"/>
  </r>
  <r>
    <n v="101"/>
    <s v="2024JULB00118"/>
    <x v="1"/>
    <s v="Rahul Ghosh"/>
    <s v="STUDENT"/>
    <s v="Kanyathon 2025"/>
    <n v="7"/>
    <n v="8"/>
    <n v="8"/>
    <n v="7"/>
    <n v="1"/>
    <n v="8"/>
    <s v="JAGSoM"/>
    <s v="PGDM"/>
    <n v="2024"/>
  </r>
  <r>
    <n v="102"/>
    <s v="2024JULB00189"/>
    <x v="1"/>
    <s v="Rahul KumarMallick"/>
    <s v="STUDENT"/>
    <s v="Kanyathon 2025"/>
    <n v="7"/>
    <n v="0"/>
    <n v="0"/>
    <n v="0"/>
    <n v="0"/>
    <n v="0"/>
    <s v="JAGSoM"/>
    <s v="PGDM"/>
    <n v="2024"/>
  </r>
  <r>
    <n v="103"/>
    <s v="2024JULB00120"/>
    <x v="1"/>
    <s v="Ramya H"/>
    <s v="STUDENT"/>
    <s v="Kanyathon 2025"/>
    <n v="7"/>
    <n v="7"/>
    <n v="7"/>
    <n v="7"/>
    <n v="0"/>
    <n v="7"/>
    <s v="JAGSoM"/>
    <s v="PGDM"/>
    <n v="2024"/>
  </r>
  <r>
    <n v="104"/>
    <s v="2024JULB00122"/>
    <x v="1"/>
    <s v="Riddhiman Saha"/>
    <s v="STUDENT"/>
    <s v="Kanyathon 2025"/>
    <n v="7"/>
    <n v="1"/>
    <n v="1"/>
    <n v="0"/>
    <n v="0"/>
    <n v="0"/>
    <s v="JAGSoM"/>
    <s v="PGDM"/>
    <n v="2024"/>
  </r>
  <r>
    <n v="105"/>
    <s v="2024JULB00133"/>
    <x v="1"/>
    <s v="S Sandeep"/>
    <s v="STUDENT"/>
    <s v="Kanyathon 2025"/>
    <n v="7"/>
    <n v="5"/>
    <n v="5"/>
    <n v="5"/>
    <n v="0"/>
    <n v="5"/>
    <s v="JAGSoM"/>
    <s v="PGDM"/>
    <n v="2024"/>
  </r>
  <r>
    <n v="106"/>
    <s v="2024JULB00134"/>
    <x v="1"/>
    <s v="Sanjay Baliga"/>
    <s v="STUDENT"/>
    <s v="Kanyathon 2025"/>
    <n v="7"/>
    <n v="9"/>
    <n v="8"/>
    <n v="2"/>
    <n v="0"/>
    <n v="2"/>
    <s v="JAGSoM"/>
    <s v="PGDM"/>
    <n v="2024"/>
  </r>
  <r>
    <n v="107"/>
    <s v="2024JULB00215"/>
    <x v="1"/>
    <s v="Sanjib KumarBhagabati"/>
    <s v="STUDENT"/>
    <s v="Kanyathon 2025"/>
    <n v="7"/>
    <n v="1"/>
    <n v="1"/>
    <n v="1"/>
    <n v="0"/>
    <n v="1"/>
    <s v="JAGSoM"/>
    <s v="PGDM"/>
    <n v="2024"/>
  </r>
  <r>
    <n v="108"/>
    <s v="2024JULB00135"/>
    <x v="1"/>
    <s v="Saqib KalandarAttar"/>
    <s v="STUDENT"/>
    <s v="Kanyathon 2025"/>
    <n v="7"/>
    <n v="2"/>
    <n v="2"/>
    <n v="2"/>
    <n v="0"/>
    <n v="2"/>
    <s v="JAGSoM"/>
    <s v="PGDM"/>
    <n v="2024"/>
  </r>
  <r>
    <n v="109"/>
    <s v="2024JULB00137"/>
    <x v="1"/>
    <s v="Saurav Kumar"/>
    <s v="STUDENT"/>
    <s v="Kanyathon 2025"/>
    <n v="7"/>
    <n v="0"/>
    <n v="0"/>
    <n v="0"/>
    <n v="0"/>
    <n v="0"/>
    <s v="JAGSoM"/>
    <s v="PGDM"/>
    <n v="2024"/>
  </r>
  <r>
    <n v="110"/>
    <s v="2024JULB00139"/>
    <x v="1"/>
    <s v="Shaswat Mishra"/>
    <s v="STUDENT"/>
    <s v="Kanyathon 2025"/>
    <n v="7"/>
    <n v="2"/>
    <n v="2"/>
    <n v="2"/>
    <n v="0"/>
    <n v="2"/>
    <s v="JAGSoM"/>
    <s v="PGDM"/>
    <n v="2024"/>
  </r>
  <r>
    <n v="111"/>
    <s v="2024JULB00140"/>
    <x v="1"/>
    <s v="Shatabarta Chanda"/>
    <s v="STUDENT"/>
    <s v="Kanyathon 2025"/>
    <n v="7"/>
    <n v="3"/>
    <n v="2"/>
    <n v="2"/>
    <n v="0"/>
    <n v="2"/>
    <s v="JAGSoM"/>
    <s v="PGDM"/>
    <n v="2024"/>
  </r>
  <r>
    <n v="112"/>
    <s v="2024JULB00142"/>
    <x v="1"/>
    <s v="Shivang Mishra"/>
    <s v="STUDENT"/>
    <s v="Kanyathon 2025"/>
    <n v="7"/>
    <n v="1"/>
    <n v="1"/>
    <n v="0"/>
    <n v="0"/>
    <n v="0"/>
    <s v="JAGSoM"/>
    <s v="PGDM"/>
    <n v="2024"/>
  </r>
  <r>
    <n v="113"/>
    <s v="2024JULB00145"/>
    <x v="1"/>
    <s v="Shruti Rajale"/>
    <s v="STUDENT"/>
    <s v="Kanyathon 2025"/>
    <n v="7"/>
    <n v="0"/>
    <n v="0"/>
    <n v="0"/>
    <n v="8"/>
    <n v="8"/>
    <s v="JAGSoM"/>
    <s v="PGDM"/>
    <n v="2024"/>
  </r>
  <r>
    <n v="114"/>
    <s v="2024JULB00153"/>
    <x v="1"/>
    <s v="Sofia Do CarmoRodrigues"/>
    <s v="STUDENT"/>
    <s v="Kanyathon 2025"/>
    <n v="7"/>
    <n v="7"/>
    <n v="7"/>
    <n v="7"/>
    <n v="0"/>
    <n v="7"/>
    <s v="JAGSoM"/>
    <s v="PGDM"/>
    <n v="2024"/>
  </r>
  <r>
    <n v="115"/>
    <s v="2024JULB00154"/>
    <x v="1"/>
    <s v="Somya Sahoo"/>
    <s v="STUDENT"/>
    <s v="Kanyathon 2025"/>
    <n v="7"/>
    <n v="4"/>
    <n v="3"/>
    <n v="3"/>
    <n v="0"/>
    <n v="3"/>
    <s v="JAGSoM"/>
    <s v="PGDM"/>
    <n v="2024"/>
  </r>
  <r>
    <n v="116"/>
    <s v="2024JULB00157"/>
    <x v="1"/>
    <s v="Spandana Chandragiri"/>
    <s v="STUDENT"/>
    <s v="Kanyathon 2025"/>
    <n v="7"/>
    <n v="4"/>
    <n v="4"/>
    <n v="4"/>
    <n v="0"/>
    <n v="4"/>
    <s v="JAGSoM"/>
    <s v="PGDM"/>
    <n v="2024"/>
  </r>
  <r>
    <n v="117"/>
    <s v="2024JULB00159"/>
    <x v="1"/>
    <s v="Sreya Sivadas"/>
    <s v="STUDENT"/>
    <s v="Kanyathon 2025"/>
    <n v="7"/>
    <n v="1"/>
    <n v="1"/>
    <n v="0"/>
    <n v="5"/>
    <n v="5"/>
    <s v="JAGSoM"/>
    <s v="PGDM"/>
    <n v="2024"/>
  </r>
  <r>
    <n v="118"/>
    <s v="2024JULB00162"/>
    <x v="1"/>
    <s v="Subhrojit Ghosh"/>
    <s v="STUDENT"/>
    <s v="Kanyathon 2025"/>
    <n v="7"/>
    <n v="2"/>
    <n v="0"/>
    <n v="0"/>
    <n v="0"/>
    <n v="0"/>
    <s v="JAGSoM"/>
    <s v="PGDM"/>
    <n v="2024"/>
  </r>
  <r>
    <n v="119"/>
    <s v="2024JULB00167"/>
    <x v="1"/>
    <s v="Sukhman Sandhu"/>
    <s v="STUDENT"/>
    <s v="Kanyathon 2025"/>
    <n v="7"/>
    <n v="0"/>
    <n v="0"/>
    <n v="0"/>
    <n v="2"/>
    <n v="2"/>
    <s v="JAGSoM"/>
    <s v="PGDM"/>
    <n v="2024"/>
  </r>
  <r>
    <n v="120"/>
    <s v="2024JULB00198"/>
    <x v="1"/>
    <s v="Suvam Basak"/>
    <s v="STUDENT"/>
    <s v="Kanyathon 2025"/>
    <n v="7"/>
    <n v="0"/>
    <n v="0"/>
    <n v="0"/>
    <n v="1"/>
    <n v="1"/>
    <s v="JAGSoM"/>
    <s v="PGDM"/>
    <n v="2024"/>
  </r>
  <r>
    <n v="121"/>
    <s v="2024JULB00169"/>
    <x v="1"/>
    <s v="Syed SofiaMehazabeen"/>
    <s v="STUDENT"/>
    <s v="Kanyathon 2025"/>
    <n v="7"/>
    <n v="5"/>
    <n v="5"/>
    <n v="5"/>
    <n v="0"/>
    <n v="5"/>
    <s v="JAGSoM"/>
    <s v="PGDM"/>
    <n v="2024"/>
  </r>
  <r>
    <n v="122"/>
    <s v="2024JULB00173"/>
    <x v="1"/>
    <s v="Tushar KantPanda"/>
    <s v="STUDENT"/>
    <s v="Kanyathon 2025"/>
    <n v="7"/>
    <n v="0"/>
    <n v="0"/>
    <n v="0"/>
    <n v="2"/>
    <n v="2"/>
    <s v="JAGSoM"/>
    <s v="PGDM"/>
    <n v="2024"/>
  </r>
  <r>
    <n v="123"/>
    <s v="2024JULB00174"/>
    <x v="1"/>
    <s v="Urvi Verma"/>
    <s v="STUDENT"/>
    <s v="Kanyathon 2025"/>
    <n v="7"/>
    <n v="0"/>
    <n v="0"/>
    <n v="0"/>
    <n v="4"/>
    <n v="4"/>
    <s v="JAGSoM"/>
    <s v="PGDM"/>
    <n v="2024"/>
  </r>
  <r>
    <n v="124"/>
    <s v="2024JULB00077"/>
    <x v="1"/>
    <s v="V L S KavyaDevarapalli"/>
    <s v="STUDENT"/>
    <s v="Kanyathon 2025"/>
    <n v="7"/>
    <n v="6"/>
    <n v="6"/>
    <n v="6"/>
    <n v="1"/>
    <n v="7"/>
    <s v="JAGSoM"/>
    <s v="PGDM"/>
    <n v="2024"/>
  </r>
  <r>
    <n v="125"/>
    <s v="2024JULB00175"/>
    <x v="1"/>
    <s v="Vaibhav Laldas"/>
    <s v="STUDENT"/>
    <s v="Kanyathon 2025"/>
    <n v="7"/>
    <n v="0"/>
    <n v="0"/>
    <n v="0"/>
    <n v="1"/>
    <n v="1"/>
    <s v="JAGSoM"/>
    <s v="PGDM"/>
    <n v="2024"/>
  </r>
  <r>
    <n v="126"/>
    <s v="2024JULB00176"/>
    <x v="1"/>
    <s v="Vaibhav Pandey"/>
    <s v="STUDENT"/>
    <s v="Kanyathon 2025"/>
    <n v="7"/>
    <n v="7"/>
    <n v="7"/>
    <n v="7"/>
    <n v="0"/>
    <n v="7"/>
    <s v="JAGSoM"/>
    <s v="PGDM"/>
    <n v="2024"/>
  </r>
  <r>
    <n v="127"/>
    <s v="2024JULB00217"/>
    <x v="1"/>
    <s v="Vittika DnyaneshwarChavhan"/>
    <s v="STUDENT"/>
    <s v="Kanyathon 2025"/>
    <n v="7"/>
    <n v="3"/>
    <n v="3"/>
    <n v="2"/>
    <n v="0"/>
    <n v="2"/>
    <s v="JAGSoM"/>
    <s v="PGDM"/>
    <n v="2024"/>
  </r>
  <r>
    <n v="128"/>
    <s v="2024JULB00218"/>
    <x v="1"/>
    <s v="Yash Kataruka"/>
    <s v="STUDENT"/>
    <s v="Kanyathon 2025"/>
    <n v="7"/>
    <n v="0"/>
    <n v="0"/>
    <n v="0"/>
    <n v="1"/>
    <n v="1"/>
    <s v="JAGSoM"/>
    <s v="PGDM"/>
    <n v="2024"/>
  </r>
  <r>
    <n v="129"/>
    <s v="2024JULB00235"/>
    <x v="2"/>
    <s v="Abhinav Dubey"/>
    <s v="STUDENT"/>
    <s v="Kanyathon 2025"/>
    <n v="7"/>
    <n v="4"/>
    <n v="4"/>
    <n v="1"/>
    <n v="0"/>
    <n v="1"/>
    <s v="JAGSoM"/>
    <s v="PGDM"/>
    <n v="2024"/>
  </r>
  <r>
    <n v="130"/>
    <s v="2024JULB00225"/>
    <x v="2"/>
    <s v="Abhishek KumarNema"/>
    <s v="STUDENT"/>
    <s v="Kanyathon 2025"/>
    <n v="7"/>
    <n v="0"/>
    <n v="0"/>
    <n v="0"/>
    <n v="0"/>
    <n v="0"/>
    <s v="JAGSoM"/>
    <s v="PGDM"/>
    <n v="2024"/>
  </r>
  <r>
    <n v="131"/>
    <s v="2024JULB00239"/>
    <x v="2"/>
    <s v="Abhishek Nanda"/>
    <s v="STUDENT"/>
    <s v="Kanyathon 2025"/>
    <n v="7"/>
    <n v="1"/>
    <n v="1"/>
    <n v="0"/>
    <n v="0"/>
    <n v="0"/>
    <s v="JAGSoM"/>
    <s v="PGDM"/>
    <n v="2024"/>
  </r>
  <r>
    <n v="132"/>
    <s v="2024JULB00008"/>
    <x v="2"/>
    <s v="Adarsh RajBarman"/>
    <s v="STUDENT"/>
    <s v="Kanyathon 2025"/>
    <n v="7"/>
    <n v="1"/>
    <n v="1"/>
    <n v="1"/>
    <n v="0"/>
    <n v="1"/>
    <s v="JAGSoM"/>
    <s v="PGDM"/>
    <n v="2024"/>
  </r>
  <r>
    <n v="133"/>
    <s v="2024JULB00093"/>
    <x v="2"/>
    <s v="Akhileswaradu Manikireddy"/>
    <s v="STUDENT"/>
    <s v="Kanyathon 2025"/>
    <n v="7"/>
    <n v="7"/>
    <n v="7"/>
    <n v="7"/>
    <n v="0"/>
    <n v="7"/>
    <s v="JAGSoM"/>
    <s v="PGDM"/>
    <n v="2024"/>
  </r>
  <r>
    <n v="134"/>
    <s v="2024JULB00020"/>
    <x v="2"/>
    <s v="Ananya Das"/>
    <s v="STUDENT"/>
    <s v="Kanyathon 2025"/>
    <n v="7"/>
    <n v="3"/>
    <n v="3"/>
    <n v="3"/>
    <n v="0"/>
    <n v="3"/>
    <s v="JAGSoM"/>
    <s v="PGDM"/>
    <n v="2024"/>
  </r>
  <r>
    <n v="135"/>
    <s v="2024JULB00022"/>
    <x v="2"/>
    <s v="Anupa Maheshwari"/>
    <s v="STUDENT"/>
    <s v="Kanyathon 2025"/>
    <n v="7"/>
    <n v="3"/>
    <n v="3"/>
    <n v="3"/>
    <n v="0"/>
    <n v="3"/>
    <s v="JAGSoM"/>
    <s v="PGDM"/>
    <n v="2024"/>
  </r>
  <r>
    <n v="136"/>
    <s v="2024JULB00206"/>
    <x v="2"/>
    <s v="Arpit Katiyar"/>
    <s v="STUDENT"/>
    <s v="Kanyathon 2025"/>
    <n v="7"/>
    <n v="2"/>
    <n v="2"/>
    <n v="2"/>
    <n v="0"/>
    <n v="2"/>
    <s v="JAGSoM"/>
    <s v="PGDM"/>
    <n v="2024"/>
  </r>
  <r>
    <n v="137"/>
    <s v="2024JULB00031"/>
    <x v="2"/>
    <s v="Ashita Roshan Kumar"/>
    <s v="STUDENT"/>
    <s v="Kanyathon 2025"/>
    <n v="7"/>
    <n v="1"/>
    <n v="1"/>
    <n v="1"/>
    <n v="0"/>
    <n v="1"/>
    <s v="JAGSoM"/>
    <s v="PGDM"/>
    <n v="2024"/>
  </r>
  <r>
    <n v="138"/>
    <s v="2024JULB00034"/>
    <x v="2"/>
    <s v="Ayush Anand"/>
    <s v="STUDENT"/>
    <s v="Kanyathon 2025"/>
    <n v="7"/>
    <n v="2"/>
    <n v="2"/>
    <n v="2"/>
    <n v="0"/>
    <n v="2"/>
    <s v="JAGSoM"/>
    <s v="PGDM"/>
    <n v="2024"/>
  </r>
  <r>
    <n v="139"/>
    <s v="2024JULB00207"/>
    <x v="2"/>
    <s v="Ayushi Mohanty"/>
    <s v="STUDENT"/>
    <s v="Kanyathon 2025"/>
    <n v="7"/>
    <n v="5"/>
    <n v="5"/>
    <n v="4"/>
    <n v="0"/>
    <n v="4"/>
    <s v="JAGSoM"/>
    <s v="PGDM"/>
    <n v="2024"/>
  </r>
  <r>
    <n v="140"/>
    <s v="2024JULB00046"/>
    <x v="2"/>
    <s v="Darsh NimeshShah"/>
    <s v="STUDENT"/>
    <s v="Kanyathon 2025"/>
    <n v="7"/>
    <n v="0"/>
    <n v="0"/>
    <n v="0"/>
    <n v="5"/>
    <n v="5"/>
    <s v="JAGSoM"/>
    <s v="PGDM"/>
    <n v="2024"/>
  </r>
  <r>
    <n v="141"/>
    <s v="2024JULB00048"/>
    <x v="2"/>
    <s v="Deekshitha S"/>
    <s v="STUDENT"/>
    <s v="Kanyathon 2025"/>
    <n v="7"/>
    <n v="5"/>
    <n v="5"/>
    <n v="2"/>
    <n v="0"/>
    <n v="2"/>
    <s v="JAGSoM"/>
    <s v="PGDM"/>
    <n v="2024"/>
  </r>
  <r>
    <n v="142"/>
    <s v="2024JULB00197"/>
    <x v="2"/>
    <s v="Deewanshu Ukey"/>
    <s v="STUDENT"/>
    <s v="Kanyathon 2025"/>
    <n v="7"/>
    <n v="9"/>
    <n v="9"/>
    <n v="9"/>
    <n v="0"/>
    <n v="9"/>
    <s v="JAGSoM"/>
    <s v="PGDM"/>
    <n v="2024"/>
  </r>
  <r>
    <n v="143"/>
    <s v="2024JULB00053"/>
    <x v="2"/>
    <s v="Disha Baid"/>
    <s v="STUDENT"/>
    <s v="Kanyathon 2025"/>
    <n v="7"/>
    <n v="7"/>
    <n v="7"/>
    <n v="7"/>
    <n v="0"/>
    <n v="7"/>
    <s v="JAGSoM"/>
    <s v="PGDM"/>
    <n v="2024"/>
  </r>
  <r>
    <n v="144"/>
    <s v="2024JULB00058"/>
    <x v="2"/>
    <s v="Farheena TaskinJamadar"/>
    <s v="STUDENT"/>
    <s v="Kanyathon 2025"/>
    <n v="7"/>
    <n v="33"/>
    <n v="8"/>
    <n v="8"/>
    <n v="2"/>
    <n v="10"/>
    <s v="JAGSoM"/>
    <s v="PGDM"/>
    <n v="2024"/>
  </r>
  <r>
    <n v="145"/>
    <s v="2024JULB00061"/>
    <x v="2"/>
    <s v="Gaurav Gaur"/>
    <s v="STUDENT"/>
    <s v="Kanyathon 2025"/>
    <n v="7"/>
    <n v="2"/>
    <n v="2"/>
    <n v="2"/>
    <n v="3"/>
    <n v="5"/>
    <s v="JAGSoM"/>
    <s v="PGDM"/>
    <n v="2024"/>
  </r>
  <r>
    <n v="146"/>
    <s v="2024JULB00213"/>
    <x v="2"/>
    <s v="Govinda RajuluBoya"/>
    <s v="STUDENT"/>
    <s v="Kanyathon 2025"/>
    <n v="7"/>
    <n v="0"/>
    <n v="0"/>
    <n v="0"/>
    <n v="0"/>
    <n v="0"/>
    <s v="JAGSoM"/>
    <s v="PGDM"/>
    <n v="2024"/>
  </r>
  <r>
    <n v="147"/>
    <s v="2024JULB00244"/>
    <x v="2"/>
    <s v="Harshita Chauhan"/>
    <s v="STUDENT"/>
    <s v="Kanyathon 2025"/>
    <n v="7"/>
    <n v="5"/>
    <n v="3"/>
    <n v="1"/>
    <n v="0"/>
    <n v="1"/>
    <s v="JAGSoM"/>
    <s v="PGDM"/>
    <n v="2024"/>
  </r>
  <r>
    <n v="148"/>
    <s v="2024JULB00066"/>
    <x v="2"/>
    <s v="Himanshu Upadhyay"/>
    <s v="STUDENT"/>
    <s v="Kanyathon 2025"/>
    <n v="7"/>
    <n v="1"/>
    <n v="1"/>
    <n v="1"/>
    <n v="1"/>
    <n v="2"/>
    <s v="JAGSoM"/>
    <s v="PGDM"/>
    <n v="2024"/>
  </r>
  <r>
    <n v="149"/>
    <s v="2024JULB00209"/>
    <x v="2"/>
    <s v="Isha Gera"/>
    <s v="STUDENT"/>
    <s v="Kanyathon 2025"/>
    <n v="7"/>
    <n v="0"/>
    <n v="0"/>
    <n v="0"/>
    <n v="0"/>
    <n v="0"/>
    <s v="JAGSoM"/>
    <s v="PGDM"/>
    <n v="2024"/>
  </r>
  <r>
    <n v="150"/>
    <s v="2024JULB00191"/>
    <x v="2"/>
    <s v="Jayant Pal"/>
    <s v="STUDENT"/>
    <s v="Kanyathon 2025"/>
    <n v="7"/>
    <n v="3"/>
    <n v="3"/>
    <n v="1"/>
    <n v="0"/>
    <n v="1"/>
    <s v="JAGSoM"/>
    <s v="PGDM"/>
    <n v="2024"/>
  </r>
  <r>
    <n v="151"/>
    <s v="2024JULB00073"/>
    <x v="2"/>
    <s v="K BalajiReddy"/>
    <s v="STUDENT"/>
    <s v="Kanyathon 2025"/>
    <n v="7"/>
    <n v="9"/>
    <n v="9"/>
    <n v="7"/>
    <n v="0"/>
    <n v="7"/>
    <s v="JAGSoM"/>
    <s v="PGDM"/>
    <n v="2024"/>
  </r>
  <r>
    <n v="152"/>
    <s v="2024JULB00072"/>
    <x v="2"/>
    <s v="Kajal Choudhary"/>
    <s v="STUDENT"/>
    <s v="Kanyathon 2025"/>
    <n v="7"/>
    <n v="2"/>
    <n v="2"/>
    <n v="2"/>
    <n v="0"/>
    <n v="2"/>
    <s v="JAGSoM"/>
    <s v="PGDM"/>
    <n v="2024"/>
  </r>
  <r>
    <n v="153"/>
    <s v="2024JULB00080"/>
    <x v="2"/>
    <s v="Koustav Biswas"/>
    <s v="STUDENT"/>
    <s v="Kanyathon 2025"/>
    <n v="7"/>
    <n v="7"/>
    <n v="7"/>
    <n v="7"/>
    <n v="0"/>
    <n v="7"/>
    <s v="JAGSoM"/>
    <s v="PGDM"/>
    <n v="2024"/>
  </r>
  <r>
    <n v="154"/>
    <s v="2024JULB00087"/>
    <x v="2"/>
    <s v="Laxmi Poorvaja S"/>
    <s v="STUDENT"/>
    <s v="Kanyathon 2025"/>
    <n v="7"/>
    <n v="8"/>
    <n v="8"/>
    <n v="8"/>
    <n v="1"/>
    <n v="9"/>
    <s v="JAGSoM"/>
    <s v="PGDM"/>
    <n v="2024"/>
  </r>
  <r>
    <n v="155"/>
    <s v="2024JULB00229"/>
    <x v="2"/>
    <s v="Malvika ."/>
    <s v="STUDENT"/>
    <s v="Kanyathon 2025"/>
    <n v="7"/>
    <n v="6"/>
    <n v="6"/>
    <n v="6"/>
    <n v="5"/>
    <n v="11"/>
    <s v="JAGSoM"/>
    <s v="PGDM"/>
    <n v="2024"/>
  </r>
  <r>
    <n v="156"/>
    <s v="2024JULB00094"/>
    <x v="2"/>
    <s v="Megha Prajapati"/>
    <s v="STUDENT"/>
    <s v="Kanyathon 2025"/>
    <n v="7"/>
    <n v="11"/>
    <n v="11"/>
    <n v="10"/>
    <n v="0"/>
    <n v="10"/>
    <s v="JAGSoM"/>
    <s v="PGDM"/>
    <n v="2024"/>
  </r>
  <r>
    <n v="157"/>
    <s v="2024JULB00095"/>
    <x v="2"/>
    <s v="Melvin Roche. A"/>
    <s v="STUDENT"/>
    <s v="Kanyathon 2025"/>
    <n v="7"/>
    <n v="3"/>
    <n v="3"/>
    <n v="3"/>
    <n v="0"/>
    <n v="3"/>
    <s v="JAGSoM"/>
    <s v="PGDM"/>
    <n v="2024"/>
  </r>
  <r>
    <n v="158"/>
    <s v="2024JULB00096"/>
    <x v="2"/>
    <s v="Milan KrishnaN E"/>
    <s v="STUDENT"/>
    <s v="Kanyathon 2025"/>
    <n v="7"/>
    <n v="1"/>
    <n v="0"/>
    <n v="0"/>
    <n v="0"/>
    <n v="0"/>
    <s v="JAGSoM"/>
    <s v="PGDM"/>
    <n v="2024"/>
  </r>
  <r>
    <n v="159"/>
    <s v="2024JULB00098"/>
    <x v="2"/>
    <s v="Naitik Roy"/>
    <s v="STUDENT"/>
    <s v="Kanyathon 2025"/>
    <n v="7"/>
    <n v="0"/>
    <n v="0"/>
    <n v="0"/>
    <n v="2"/>
    <n v="2"/>
    <s v="JAGSoM"/>
    <s v="PGDM"/>
    <n v="2024"/>
  </r>
  <r>
    <n v="160"/>
    <s v="2024JULB00100"/>
    <x v="2"/>
    <s v="Nihal Poojary"/>
    <s v="STUDENT"/>
    <s v="Kanyathon 2025"/>
    <n v="7"/>
    <n v="4"/>
    <n v="4"/>
    <n v="3"/>
    <n v="0"/>
    <n v="3"/>
    <s v="JAGSoM"/>
    <s v="PGDM"/>
    <n v="2024"/>
  </r>
  <r>
    <n v="161"/>
    <s v="2024JULB00210"/>
    <x v="2"/>
    <s v="Nikita Soni"/>
    <s v="STUDENT"/>
    <s v="Kanyathon 2025"/>
    <n v="7"/>
    <n v="1"/>
    <n v="1"/>
    <n v="0"/>
    <n v="0"/>
    <n v="0"/>
    <s v="JAGSoM"/>
    <s v="PGDM"/>
    <n v="2024"/>
  </r>
  <r>
    <n v="162"/>
    <s v="2024JULB00101"/>
    <x v="2"/>
    <s v="Nimisha Baruah"/>
    <s v="STUDENT"/>
    <s v="Kanyathon 2025"/>
    <n v="7"/>
    <n v="2"/>
    <n v="2"/>
    <n v="2"/>
    <n v="0"/>
    <n v="2"/>
    <s v="JAGSoM"/>
    <s v="PGDM"/>
    <n v="2024"/>
  </r>
  <r>
    <n v="163"/>
    <s v="2024JULB00104"/>
    <x v="2"/>
    <s v="Nitesh RamniwasSaini"/>
    <s v="STUDENT"/>
    <s v="Kanyathon 2025"/>
    <n v="7"/>
    <n v="0"/>
    <n v="0"/>
    <n v="0"/>
    <n v="1"/>
    <n v="1"/>
    <s v="JAGSoM"/>
    <s v="PGDM"/>
    <n v="2024"/>
  </r>
  <r>
    <n v="164"/>
    <s v="2024JULB00186"/>
    <x v="2"/>
    <s v="Pasumurty VineethKumar"/>
    <s v="STUDENT"/>
    <s v="Kanyathon 2025"/>
    <n v="7"/>
    <n v="3"/>
    <n v="3"/>
    <n v="2"/>
    <n v="0"/>
    <n v="2"/>
    <s v="JAGSoM"/>
    <s v="PGDM"/>
    <n v="2024"/>
  </r>
  <r>
    <n v="165"/>
    <s v="2024JULB00107"/>
    <x v="2"/>
    <s v="Pavitra V"/>
    <s v="STUDENT"/>
    <s v="Kanyathon 2025"/>
    <n v="7"/>
    <n v="5"/>
    <n v="5"/>
    <n v="3"/>
    <n v="0"/>
    <n v="3"/>
    <s v="JAGSoM"/>
    <s v="PGDM"/>
    <n v="2024"/>
  </r>
  <r>
    <n v="166"/>
    <s v="2024JULB00196"/>
    <x v="2"/>
    <s v="Piyush Kumar"/>
    <s v="STUDENT"/>
    <s v="Kanyathon 2025"/>
    <n v="7"/>
    <n v="4"/>
    <n v="3"/>
    <n v="3"/>
    <n v="0"/>
    <n v="3"/>
    <s v="JAGSoM"/>
    <s v="PGDM"/>
    <n v="2024"/>
  </r>
  <r>
    <n v="167"/>
    <s v="2024JULB00240"/>
    <x v="2"/>
    <s v="Prabhansha Vyas"/>
    <s v="STUDENT"/>
    <s v="Kanyathon 2025"/>
    <n v="7"/>
    <n v="1"/>
    <n v="1"/>
    <n v="1"/>
    <n v="0"/>
    <n v="1"/>
    <s v="JAGSoM"/>
    <s v="PGDM"/>
    <n v="2024"/>
  </r>
  <r>
    <n v="168"/>
    <s v="2024JULB00236"/>
    <x v="2"/>
    <s v="Prachi Pandey"/>
    <s v="STUDENT"/>
    <s v="Kanyathon 2025"/>
    <n v="7"/>
    <n v="2"/>
    <n v="2"/>
    <n v="2"/>
    <n v="1"/>
    <n v="3"/>
    <s v="JAGSoM"/>
    <s v="PGDM"/>
    <n v="2024"/>
  </r>
  <r>
    <n v="169"/>
    <s v="2024JULB00223"/>
    <x v="2"/>
    <s v="Preethish Mesa"/>
    <s v="STUDENT"/>
    <s v="Kanyathon 2025"/>
    <n v="7"/>
    <n v="6"/>
    <n v="6"/>
    <n v="6"/>
    <n v="1"/>
    <n v="7"/>
    <s v="JAGSoM"/>
    <s v="PGDM"/>
    <n v="2024"/>
  </r>
  <r>
    <n v="170"/>
    <s v="2024JULB00115"/>
    <x v="2"/>
    <s v="Pujarchana Nayak"/>
    <s v="STUDENT"/>
    <s v="Kanyathon 2025"/>
    <n v="7"/>
    <n v="1"/>
    <n v="1"/>
    <n v="1"/>
    <n v="0"/>
    <n v="1"/>
    <s v="JAGSoM"/>
    <s v="PGDM"/>
    <n v="2024"/>
  </r>
  <r>
    <n v="171"/>
    <s v="2024JULB00211"/>
    <x v="2"/>
    <s v="Purnita Gupta"/>
    <s v="STUDENT"/>
    <s v="Kanyathon 2025"/>
    <n v="7"/>
    <n v="4"/>
    <n v="4"/>
    <n v="4"/>
    <n v="7"/>
    <n v="11"/>
    <s v="JAGSoM"/>
    <s v="PGDM"/>
    <n v="2024"/>
  </r>
  <r>
    <n v="172"/>
    <s v="2024JULB00119"/>
    <x v="2"/>
    <s v="Rahul LalP. P"/>
    <s v="STUDENT"/>
    <s v="Kanyathon 2025"/>
    <n v="7"/>
    <n v="5"/>
    <n v="5"/>
    <n v="4"/>
    <n v="2"/>
    <n v="6"/>
    <s v="JAGSoM"/>
    <s v="PGDM"/>
    <n v="2024"/>
  </r>
  <r>
    <n v="173"/>
    <s v="2024JULB00121"/>
    <x v="2"/>
    <s v="Renukha S"/>
    <s v="STUDENT"/>
    <s v="Kanyathon 2025"/>
    <n v="7"/>
    <n v="4"/>
    <n v="4"/>
    <n v="3"/>
    <n v="0"/>
    <n v="3"/>
    <s v="JAGSoM"/>
    <s v="PGDM"/>
    <n v="2024"/>
  </r>
  <r>
    <n v="174"/>
    <s v="2024JULB00124"/>
    <x v="2"/>
    <s v="Ritaban Roy"/>
    <s v="STUDENT"/>
    <s v="Kanyathon 2025"/>
    <n v="7"/>
    <n v="5"/>
    <n v="5"/>
    <n v="5"/>
    <n v="2"/>
    <n v="7"/>
    <s v="JAGSoM"/>
    <s v="PGDM"/>
    <n v="2024"/>
  </r>
  <r>
    <n v="175"/>
    <s v="2024JULB00233"/>
    <x v="2"/>
    <s v="Riya Batra"/>
    <s v="STUDENT"/>
    <s v="Kanyathon 2025"/>
    <n v="7"/>
    <n v="4"/>
    <n v="4"/>
    <n v="4"/>
    <n v="0"/>
    <n v="4"/>
    <s v="JAGSoM"/>
    <s v="PGDM"/>
    <n v="2024"/>
  </r>
  <r>
    <n v="176"/>
    <s v="2024JULB00125"/>
    <x v="2"/>
    <s v="Riya Guliya"/>
    <s v="STUDENT"/>
    <s v="Kanyathon 2025"/>
    <n v="7"/>
    <n v="0"/>
    <n v="0"/>
    <n v="0"/>
    <n v="5"/>
    <n v="5"/>
    <s v="JAGSoM"/>
    <s v="PGDM"/>
    <n v="2024"/>
  </r>
  <r>
    <n v="177"/>
    <s v="2024JULB00220"/>
    <x v="2"/>
    <s v="Rohan Agrawal"/>
    <s v="STUDENT"/>
    <s v="Kanyathon 2025"/>
    <n v="7"/>
    <n v="0"/>
    <n v="0"/>
    <n v="0"/>
    <n v="0"/>
    <n v="0"/>
    <s v="JAGSoM"/>
    <s v="PGDM"/>
    <n v="2024"/>
  </r>
  <r>
    <n v="178"/>
    <s v="2024JULB00252"/>
    <x v="2"/>
    <s v="Ronak Agarwal"/>
    <s v="STUDENT"/>
    <s v="Kanyathon 2025"/>
    <n v="7"/>
    <n v="1"/>
    <n v="0"/>
    <n v="0"/>
    <n v="0"/>
    <n v="0"/>
    <s v="JAGSoM"/>
    <s v="PGDM"/>
    <n v="2024"/>
  </r>
  <r>
    <n v="179"/>
    <s v="2024JULB00243"/>
    <x v="2"/>
    <s v="Sahil Gupta"/>
    <s v="STUDENT"/>
    <s v="Kanyathon 2025"/>
    <n v="7"/>
    <n v="3"/>
    <n v="3"/>
    <n v="3"/>
    <n v="2"/>
    <n v="5"/>
    <s v="JAGSoM"/>
    <s v="PGDM"/>
    <n v="2024"/>
  </r>
  <r>
    <n v="180"/>
    <s v="2024JULB00131"/>
    <x v="2"/>
    <s v="Sai KrishnaKaveti"/>
    <s v="STUDENT"/>
    <s v="Kanyathon 2025"/>
    <n v="7"/>
    <n v="0"/>
    <n v="0"/>
    <n v="0"/>
    <n v="0"/>
    <n v="0"/>
    <s v="JAGSoM"/>
    <s v="PGDM"/>
    <n v="2024"/>
  </r>
  <r>
    <n v="181"/>
    <s v="2024JULB00132"/>
    <x v="2"/>
    <s v="Sakchi Suryavanshi"/>
    <s v="STUDENT"/>
    <s v="Kanyathon 2025"/>
    <n v="7"/>
    <n v="2"/>
    <n v="2"/>
    <n v="1"/>
    <n v="0"/>
    <n v="1"/>
    <s v="JAGSoM"/>
    <s v="PGDM"/>
    <n v="2024"/>
  </r>
  <r>
    <n v="182"/>
    <s v="2024JULB00231"/>
    <x v="2"/>
    <s v="Sanskar Dixit"/>
    <s v="STUDENT"/>
    <s v="Kanyathon 2025"/>
    <n v="7"/>
    <n v="2"/>
    <n v="2"/>
    <n v="0"/>
    <n v="0"/>
    <n v="0"/>
    <s v="JAGSoM"/>
    <s v="PGDM"/>
    <n v="2024"/>
  </r>
  <r>
    <n v="183"/>
    <s v="2024JULB00143"/>
    <x v="2"/>
    <s v="Shreya Bohre"/>
    <s v="STUDENT"/>
    <s v="Kanyathon 2025"/>
    <n v="7"/>
    <n v="9"/>
    <n v="9"/>
    <n v="7"/>
    <n v="1"/>
    <n v="8"/>
    <s v="JAGSoM"/>
    <s v="PGDM"/>
    <n v="2024"/>
  </r>
  <r>
    <n v="184"/>
    <s v="2024JULB00165"/>
    <x v="2"/>
    <s v="Shristi Prakash"/>
    <s v="STUDENT"/>
    <s v="Kanyathon 2025"/>
    <n v="7"/>
    <n v="1"/>
    <n v="1"/>
    <n v="1"/>
    <n v="0"/>
    <n v="1"/>
    <s v="JAGSoM"/>
    <s v="PGDM"/>
    <n v="2024"/>
  </r>
  <r>
    <n v="185"/>
    <s v="2024JULB00146"/>
    <x v="2"/>
    <s v="Shruti Sharma"/>
    <s v="STUDENT"/>
    <s v="Kanyathon 2025"/>
    <n v="7"/>
    <n v="1"/>
    <n v="1"/>
    <n v="1"/>
    <n v="0"/>
    <n v="1"/>
    <s v="JAGSoM"/>
    <s v="PGDM"/>
    <n v="2024"/>
  </r>
  <r>
    <n v="186"/>
    <s v="2024JULB00147"/>
    <x v="2"/>
    <s v="Shruti VishamberBuchasia"/>
    <s v="STUDENT"/>
    <s v="Kanyathon 2025"/>
    <n v="7"/>
    <n v="3"/>
    <n v="3"/>
    <n v="3"/>
    <n v="1"/>
    <n v="4"/>
    <s v="JAGSoM"/>
    <s v="PGDM"/>
    <n v="2024"/>
  </r>
  <r>
    <n v="187"/>
    <s v="2024JULB00149"/>
    <x v="2"/>
    <s v="Shubham Kumar"/>
    <s v="STUDENT"/>
    <s v="Kanyathon 2025"/>
    <n v="7"/>
    <n v="0"/>
    <n v="0"/>
    <n v="0"/>
    <n v="0"/>
    <n v="0"/>
    <s v="JAGSoM"/>
    <s v="PGDM"/>
    <n v="2024"/>
  </r>
  <r>
    <n v="188"/>
    <s v="2024JULB00150"/>
    <x v="2"/>
    <s v="Siddharth Singh"/>
    <s v="STUDENT"/>
    <s v="Kanyathon 2025"/>
    <n v="7"/>
    <n v="1"/>
    <n v="1"/>
    <n v="1"/>
    <n v="0"/>
    <n v="1"/>
    <s v="JAGSoM"/>
    <s v="PGDM"/>
    <n v="2024"/>
  </r>
  <r>
    <n v="189"/>
    <s v="2024JULB00151"/>
    <x v="2"/>
    <s v="Sivaraman S"/>
    <s v="STUDENT"/>
    <s v="Kanyathon 2025"/>
    <n v="7"/>
    <n v="9"/>
    <n v="9"/>
    <n v="9"/>
    <n v="0"/>
    <n v="9"/>
    <s v="JAGSoM"/>
    <s v="PGDM"/>
    <n v="2024"/>
  </r>
  <r>
    <n v="190"/>
    <s v="2024JULB00155"/>
    <x v="2"/>
    <s v="Sonali Agarwal"/>
    <s v="STUDENT"/>
    <s v="Kanyathon 2025"/>
    <n v="7"/>
    <n v="3"/>
    <n v="3"/>
    <n v="3"/>
    <n v="0"/>
    <n v="3"/>
    <s v="JAGSoM"/>
    <s v="PGDM"/>
    <n v="2024"/>
  </r>
  <r>
    <n v="191"/>
    <s v="2024JULB00156"/>
    <x v="2"/>
    <s v="Souvik Roy"/>
    <s v="STUDENT"/>
    <s v="Kanyathon 2025"/>
    <n v="7"/>
    <n v="1"/>
    <n v="1"/>
    <n v="1"/>
    <n v="0"/>
    <n v="1"/>
    <s v="JAGSoM"/>
    <s v="PGDM"/>
    <n v="2024"/>
  </r>
  <r>
    <n v="192"/>
    <s v="2024JULB00163"/>
    <x v="2"/>
    <s v="Sudharsan B"/>
    <s v="STUDENT"/>
    <s v="Kanyathon 2025"/>
    <n v="7"/>
    <n v="7"/>
    <n v="7"/>
    <n v="7"/>
    <n v="0"/>
    <n v="7"/>
    <s v="JAGSoM"/>
    <s v="PGDM"/>
    <n v="2024"/>
  </r>
  <r>
    <n v="193"/>
    <s v="2024JULB00227"/>
    <x v="2"/>
    <s v="Sumit Sharma"/>
    <s v="STUDENT"/>
    <s v="Kanyathon 2025"/>
    <n v="7"/>
    <n v="3"/>
    <n v="2"/>
    <n v="0"/>
    <n v="0"/>
    <n v="0"/>
    <s v="JAGSoM"/>
    <s v="PGDM"/>
    <n v="2024"/>
  </r>
  <r>
    <n v="194"/>
    <s v="2024JULB00172"/>
    <x v="2"/>
    <s v="Trinanjan Purkait"/>
    <s v="STUDENT"/>
    <s v="Kanyathon 2025"/>
    <n v="7"/>
    <n v="1"/>
    <n v="1"/>
    <n v="1"/>
    <n v="5"/>
    <n v="6"/>
    <s v="JAGSoM"/>
    <s v="PGDM"/>
    <n v="2024"/>
  </r>
  <r>
    <n v="195"/>
    <s v="2024JULB00234"/>
    <x v="2"/>
    <s v="U PratheekM Bhat"/>
    <s v="STUDENT"/>
    <s v="Kanyathon 2025"/>
    <n v="7"/>
    <n v="2"/>
    <n v="2"/>
    <n v="1"/>
    <n v="1"/>
    <n v="2"/>
    <s v="JAGSoM"/>
    <s v="PGDM"/>
    <n v="2024"/>
  </r>
  <r>
    <n v="196"/>
    <s v="2024JULB00177"/>
    <x v="2"/>
    <s v="Vanshika Bihani"/>
    <s v="STUDENT"/>
    <s v="Kanyathon 2025"/>
    <n v="7"/>
    <n v="2"/>
    <n v="2"/>
    <n v="2"/>
    <n v="1"/>
    <n v="3"/>
    <s v="JAGSoM"/>
    <s v="PGDM"/>
    <n v="2024"/>
  </r>
  <r>
    <n v="197"/>
    <s v="2024JULB00178"/>
    <x v="2"/>
    <s v="Varsha Saji"/>
    <s v="STUDENT"/>
    <s v="Kanyathon 2025"/>
    <n v="7"/>
    <n v="7"/>
    <n v="7"/>
    <n v="7"/>
    <n v="0"/>
    <n v="7"/>
    <s v="JAGSoM"/>
    <s v="PGDM"/>
    <n v="2024"/>
  </r>
  <r>
    <n v="198"/>
    <s v="2024JULB00181"/>
    <x v="2"/>
    <s v="Vishal Bhagat"/>
    <s v="STUDENT"/>
    <s v="Kanyathon 2025"/>
    <n v="7"/>
    <n v="1"/>
    <n v="1"/>
    <n v="1"/>
    <n v="0"/>
    <n v="1"/>
    <s v="JAGSoM"/>
    <s v="PGDM"/>
    <n v="2024"/>
  </r>
  <r>
    <n v="199"/>
    <s v="2024JULB00183"/>
    <x v="2"/>
    <s v="Yasaswini ReddySagili"/>
    <s v="STUDENT"/>
    <s v="Kanyathon 2025"/>
    <n v="7"/>
    <n v="6"/>
    <n v="6"/>
    <n v="6"/>
    <n v="0"/>
    <n v="6"/>
    <s v="JAGSoM"/>
    <s v="PGDM"/>
    <n v="2024"/>
  </r>
  <r>
    <n v="200"/>
    <s v="2024JULB00005"/>
    <x v="3"/>
    <s v="Abhirup Choudhury"/>
    <s v="STUDENT"/>
    <s v="Kanyathon 2025"/>
    <n v="7"/>
    <n v="0"/>
    <n v="0"/>
    <n v="0"/>
    <n v="0"/>
    <n v="0"/>
    <s v="JAGSoM"/>
    <s v="PGDM"/>
    <n v="2024"/>
  </r>
  <r>
    <n v="201"/>
    <s v="2024JULB00262"/>
    <x v="3"/>
    <s v="Aman Kumar"/>
    <s v="STUDENT"/>
    <s v="Kanyathon 2025"/>
    <n v="7"/>
    <n v="1"/>
    <n v="1"/>
    <n v="1"/>
    <n v="0"/>
    <n v="1"/>
    <s v="JAGSoM"/>
    <s v="PGDM"/>
    <n v="2024"/>
  </r>
  <r>
    <n v="202"/>
    <s v="2024JULB00261"/>
    <x v="3"/>
    <s v="Ananya Raj"/>
    <s v="STUDENT"/>
    <s v="Kanyathon 2025"/>
    <n v="7"/>
    <n v="0"/>
    <n v="0"/>
    <n v="0"/>
    <n v="0"/>
    <n v="0"/>
    <s v="JAGSoM"/>
    <s v="PGDM"/>
    <n v="2024"/>
  </r>
  <r>
    <n v="203"/>
    <s v="2024JULB00258"/>
    <x v="3"/>
    <s v="Animesh Tiwari"/>
    <s v="STUDENT"/>
    <s v="Kanyathon 2025"/>
    <n v="7"/>
    <n v="1"/>
    <n v="1"/>
    <n v="0"/>
    <n v="1"/>
    <n v="1"/>
    <s v="JAGSoM"/>
    <s v="PGDM"/>
    <n v="2024"/>
  </r>
  <r>
    <n v="204"/>
    <s v="2024JULB00232"/>
    <x v="3"/>
    <s v="Ankita Anand"/>
    <s v="STUDENT"/>
    <s v="Kanyathon 2025"/>
    <n v="7"/>
    <n v="2"/>
    <n v="2"/>
    <n v="2"/>
    <n v="0"/>
    <n v="2"/>
    <s v="JAGSoM"/>
    <s v="PGDM"/>
    <n v="2024"/>
  </r>
  <r>
    <n v="205"/>
    <s v="2024JULB00246"/>
    <x v="3"/>
    <s v="Badhul BPillai"/>
    <s v="STUDENT"/>
    <s v="Kanyathon 2025"/>
    <n v="7"/>
    <n v="2"/>
    <n v="2"/>
    <n v="2"/>
    <n v="0"/>
    <n v="2"/>
    <s v="JAGSoM"/>
    <s v="PGDM"/>
    <n v="2024"/>
  </r>
  <r>
    <n v="206"/>
    <s v="2024JULB00273"/>
    <x v="3"/>
    <s v="Harshit Gopawat"/>
    <s v="STUDENT"/>
    <s v="Kanyathon 2025"/>
    <n v="7"/>
    <n v="0"/>
    <n v="0"/>
    <n v="0"/>
    <n v="0"/>
    <n v="0"/>
    <s v="JAGSoM"/>
    <s v="PGDM"/>
    <n v="2024"/>
  </r>
  <r>
    <n v="207"/>
    <s v="2024JULB00245"/>
    <x v="3"/>
    <s v="Harshvardhan Patidar"/>
    <s v="STUDENT"/>
    <s v="Kanyathon 2025"/>
    <n v="7"/>
    <n v="0"/>
    <n v="0"/>
    <n v="0"/>
    <n v="0"/>
    <n v="0"/>
    <s v="JAGSoM"/>
    <s v="PGDM"/>
    <n v="2024"/>
  </r>
  <r>
    <n v="208"/>
    <s v="2024JULB00249"/>
    <x v="3"/>
    <s v="Kartik Garg"/>
    <s v="STUDENT"/>
    <s v="Kanyathon 2025"/>
    <n v="7"/>
    <n v="0"/>
    <n v="0"/>
    <n v="0"/>
    <n v="0"/>
    <n v="0"/>
    <s v="JAGSoM"/>
    <s v="PGDM"/>
    <n v="2024"/>
  </r>
  <r>
    <n v="209"/>
    <s v="2024JULB00238"/>
    <x v="3"/>
    <s v="Krishna KumarSingh"/>
    <s v="STUDENT"/>
    <s v="Kanyathon 2025"/>
    <n v="7"/>
    <n v="3"/>
    <n v="3"/>
    <n v="0"/>
    <n v="0"/>
    <n v="0"/>
    <s v="JAGSoM"/>
    <s v="PGDM"/>
    <n v="2024"/>
  </r>
  <r>
    <n v="210"/>
    <s v="2024JULB00267"/>
    <x v="3"/>
    <s v="Kushal Raj"/>
    <s v="STUDENT"/>
    <s v="Kanyathon 2025"/>
    <n v="7"/>
    <n v="1"/>
    <n v="1"/>
    <n v="1"/>
    <n v="0"/>
    <n v="1"/>
    <s v="JAGSoM"/>
    <s v="PGDM"/>
    <n v="2024"/>
  </r>
  <r>
    <n v="211"/>
    <s v="2024JULB00247"/>
    <x v="3"/>
    <s v="Md Arsalan Siddiqui"/>
    <s v="STUDENT"/>
    <s v="Kanyathon 2025"/>
    <n v="7"/>
    <n v="0"/>
    <n v="0"/>
    <n v="0"/>
    <n v="0"/>
    <n v="0"/>
    <s v="JAGSoM"/>
    <s v="PGDM"/>
    <n v="2024"/>
  </r>
  <r>
    <n v="212"/>
    <s v="2024JULB00266"/>
    <x v="3"/>
    <s v="Musaddik Kurundwad"/>
    <s v="STUDENT"/>
    <s v="Kanyathon 2025"/>
    <n v="7"/>
    <n v="2"/>
    <n v="2"/>
    <n v="2"/>
    <n v="0"/>
    <n v="2"/>
    <s v="JAGSoM"/>
    <s v="PGDM"/>
    <n v="2024"/>
  </r>
  <r>
    <n v="213"/>
    <s v="2024JULB00264"/>
    <x v="3"/>
    <s v="Nikita Sehgal"/>
    <s v="STUDENT"/>
    <s v="Kanyathon 2025"/>
    <n v="7"/>
    <n v="0"/>
    <n v="0"/>
    <n v="0"/>
    <n v="0"/>
    <n v="0"/>
    <s v="JAGSoM"/>
    <s v="PGDM"/>
    <n v="2024"/>
  </r>
  <r>
    <n v="214"/>
    <s v="2024JULB00253"/>
    <x v="3"/>
    <s v="Pritam Raju Shet"/>
    <s v="STUDENT"/>
    <s v="Kanyathon 2025"/>
    <n v="7"/>
    <n v="0"/>
    <n v="0"/>
    <n v="0"/>
    <n v="0"/>
    <n v="0"/>
    <s v="JAGSoM"/>
    <s v="PGDM"/>
    <n v="2024"/>
  </r>
  <r>
    <n v="215"/>
    <s v="2024JULB00270"/>
    <x v="3"/>
    <s v="Rahul Gupta"/>
    <s v="STUDENT"/>
    <s v="Kanyathon 2025"/>
    <n v="7"/>
    <n v="2"/>
    <n v="2"/>
    <n v="1"/>
    <n v="1"/>
    <n v="2"/>
    <s v="JAGSoM"/>
    <s v="PGDM"/>
    <n v="2024"/>
  </r>
  <r>
    <n v="216"/>
    <s v="2024JULB00254"/>
    <x v="3"/>
    <s v="Reshu Sharma"/>
    <s v="STUDENT"/>
    <s v="Kanyathon 2025"/>
    <n v="7"/>
    <n v="2"/>
    <n v="2"/>
    <n v="2"/>
    <n v="0"/>
    <n v="2"/>
    <s v="JAGSoM"/>
    <s v="PGDM"/>
    <n v="2024"/>
  </r>
  <r>
    <n v="217"/>
    <s v="2024JULB00256"/>
    <x v="3"/>
    <s v="Riya Kumari"/>
    <s v="STUDENT"/>
    <s v="Kanyathon 2025"/>
    <n v="7"/>
    <n v="4"/>
    <n v="4"/>
    <n v="4"/>
    <n v="0"/>
    <n v="4"/>
    <s v="JAGSoM"/>
    <s v="PGDM"/>
    <n v="2024"/>
  </r>
  <r>
    <n v="218"/>
    <s v="2024JULB00255"/>
    <x v="3"/>
    <s v="Saisrita Rao"/>
    <s v="STUDENT"/>
    <s v="Kanyathon 2025"/>
    <n v="7"/>
    <n v="1"/>
    <n v="0"/>
    <n v="0"/>
    <n v="0"/>
    <n v="0"/>
    <s v="JAGSoM"/>
    <s v="PGDM"/>
    <n v="2024"/>
  </r>
  <r>
    <n v="219"/>
    <s v="2024JULB00250"/>
    <x v="3"/>
    <s v="Sanjana ManishkumarKapadia"/>
    <s v="STUDENT"/>
    <s v="Kanyathon 2025"/>
    <n v="7"/>
    <n v="2"/>
    <n v="2"/>
    <n v="2"/>
    <n v="0"/>
    <n v="2"/>
    <s v="JAGSoM"/>
    <s v="PGDM"/>
    <n v="2024"/>
  </r>
  <r>
    <n v="220"/>
    <s v="2024JULB00257"/>
    <x v="3"/>
    <s v="Saurav Singh"/>
    <s v="STUDENT"/>
    <s v="Kanyathon 2025"/>
    <n v="7"/>
    <n v="0"/>
    <n v="0"/>
    <n v="0"/>
    <n v="3"/>
    <n v="3"/>
    <s v="JAGSoM"/>
    <s v="PGDM"/>
    <n v="2024"/>
  </r>
  <r>
    <n v="221"/>
    <s v="2024JULB00248"/>
    <x v="3"/>
    <s v="Shivam Ratnani"/>
    <s v="STUDENT"/>
    <s v="Kanyathon 2025"/>
    <n v="7"/>
    <n v="1"/>
    <n v="0"/>
    <n v="0"/>
    <n v="0"/>
    <n v="0"/>
    <s v="JAGSoM"/>
    <s v="PGDM"/>
    <n v="2024"/>
  </r>
  <r>
    <n v="222"/>
    <s v="2024JULB00242"/>
    <x v="3"/>
    <s v="Shreya Sethi"/>
    <s v="STUDENT"/>
    <s v="Kanyathon 2025"/>
    <n v="7"/>
    <n v="0"/>
    <n v="0"/>
    <n v="0"/>
    <n v="0"/>
    <n v="0"/>
    <s v="JAGSoM"/>
    <s v="PGDM"/>
    <n v="2024"/>
  </r>
  <r>
    <n v="223"/>
    <s v="2024JULB00268"/>
    <x v="3"/>
    <s v="Soumya"/>
    <s v="STUDENT"/>
    <s v="Kanyathon 2025"/>
    <n v="7"/>
    <n v="4"/>
    <n v="4"/>
    <n v="4"/>
    <n v="0"/>
    <n v="4"/>
    <s v="JAGSoM"/>
    <s v="PGDM"/>
    <n v="2024"/>
  </r>
  <r>
    <n v="224"/>
    <s v="2024JULB00263"/>
    <x v="3"/>
    <s v="Soumya Roy"/>
    <s v="STUDENT"/>
    <s v="Kanyathon 2025"/>
    <n v="7"/>
    <n v="0"/>
    <n v="0"/>
    <n v="0"/>
    <n v="0"/>
    <n v="0"/>
    <s v="JAGSoM"/>
    <s v="PGDM"/>
    <n v="2024"/>
  </r>
  <r>
    <n v="225"/>
    <s v="2024JULB00265"/>
    <x v="3"/>
    <s v="Srijan Dobhal"/>
    <s v="STUDENT"/>
    <s v="Kanyathon 2025"/>
    <n v="7"/>
    <n v="0"/>
    <n v="0"/>
    <n v="0"/>
    <n v="0"/>
    <n v="0"/>
    <s v="JAGSoM"/>
    <s v="PGDM"/>
    <n v="2024"/>
  </r>
  <r>
    <n v="226"/>
    <s v="2024JULB00272"/>
    <x v="3"/>
    <s v="Vikash Kumar"/>
    <s v="STUDENT"/>
    <s v="Kanyathon 2025"/>
    <n v="7"/>
    <n v="0"/>
    <n v="0"/>
    <n v="0"/>
    <n v="0"/>
    <n v="0"/>
    <s v="JAGSoM"/>
    <s v="PGDM"/>
    <n v="2024"/>
  </r>
  <r>
    <n v="227"/>
    <s v="2024JULB00260"/>
    <x v="3"/>
    <s v="Vishal Durga RaoGandu"/>
    <s v="STUDENT"/>
    <s v="Kanyathon 2025"/>
    <n v="7"/>
    <n v="2"/>
    <n v="2"/>
    <n v="2"/>
    <n v="0"/>
    <n v="2"/>
    <s v="JAGSoM"/>
    <s v="PGDM"/>
    <n v="2024"/>
  </r>
  <r>
    <n v="228"/>
    <s v="2024JULB00269"/>
    <x v="3"/>
    <s v="Vrijendra Balaji"/>
    <s v="STUDENT"/>
    <s v="Kanyathon 2025"/>
    <n v="7"/>
    <n v="0"/>
    <n v="0"/>
    <n v="0"/>
    <n v="0"/>
    <n v="0"/>
    <s v="JAGSoM"/>
    <s v="PGDM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76175-129A-439F-B22B-6C396A7C5EF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ECTION">
  <location ref="A3:G8" firstHeaderRow="0" firstDataRow="1" firstDataCol="1"/>
  <pivotFields count="15"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no. of passes required" fld="2" subtotal="count" baseField="0" baseItem="0"/>
    <dataField name="Sum of no. of passes purchased" fld="7" baseField="0" baseItem="0"/>
    <dataField name="Sum of No of passes Shared" fld="8" baseField="0" baseItem="0"/>
    <dataField name="Sum of No of passes Claimed" fld="9" baseField="0" baseItem="0"/>
    <dataField name="Sum of Referral Sales-verified one " fld="10" baseField="0" baseItem="0"/>
    <dataField name="Sum of Total Sales" fld="11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14A04-3117-4918-9FD4-E179DD7D59E4}" name="Table2" displayName="Table2" ref="A1:M229" totalsRowShown="0" headerRowDxfId="22" headerRowBorderDxfId="21" tableBorderDxfId="20" totalsRowBorderDxfId="19">
  <autoFilter ref="A1:M229" xr:uid="{B2567243-D17A-4D8C-8722-5F91CF6940A6}"/>
  <tableColumns count="13">
    <tableColumn id="1" xr3:uid="{2D4E36F8-B698-4842-A77D-A1BF7F22B7D9}" name="S.No" dataDxfId="18"/>
    <tableColumn id="3" xr3:uid="{80682EF5-B8A1-417D-BF09-2D953CA2B787}" name="Section" dataDxfId="17"/>
    <tableColumn id="4" xr3:uid="{4A0F6E29-D662-4384-9562-1B1388DA347F}" name="Name" dataDxfId="16"/>
    <tableColumn id="5" xr3:uid="{B45E90B0-60A2-44B1-BE7C-134841BEF08C}" name="User Type" dataDxfId="15"/>
    <tableColumn id="6" xr3:uid="{2C010DC1-108C-41B5-8A7D-98639335775D}" name="Pass Name" dataDxfId="14"/>
    <tableColumn id="7" xr3:uid="{57736062-97E9-4D8D-BF80-452C889A7614}" name="No of passes Required" dataDxfId="13"/>
    <tableColumn id="8" xr3:uid="{A947EEBA-941F-4920-A7A3-7EB89063444D}" name="No of passes Purchased" dataDxfId="12"/>
    <tableColumn id="9" xr3:uid="{B63DF26C-274C-4F33-A883-C4AF23E4E1FA}" name="No of passes Shared" dataDxfId="11"/>
    <tableColumn id="10" xr3:uid="{FBD278E4-285E-44CE-AE01-36528F7A1DEC}" name="No of passes Claimed" dataDxfId="10"/>
    <tableColumn id="11" xr3:uid="{9AE65BA5-C226-4878-A510-4D9158713749}" name="Referral Sales-verified one " dataDxfId="9"/>
    <tableColumn id="12" xr3:uid="{9E890B55-525D-43D0-A87C-6C060BDB8801}" name="Total Sales" dataDxfId="8"/>
    <tableColumn id="14" xr3:uid="{E28AD8F9-4873-4380-9801-DAB1A879025D}" name="Program name" dataDxfId="7"/>
    <tableColumn id="15" xr3:uid="{99BC01B1-8C41-4C47-80AE-917443E7D85D}" name="Batch name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7243-D17A-4D8C-8722-5F91CF6940A6}">
  <dimension ref="A1:M229"/>
  <sheetViews>
    <sheetView tabSelected="1" workbookViewId="0">
      <selection activeCell="M14" sqref="M14"/>
    </sheetView>
  </sheetViews>
  <sheetFormatPr defaultRowHeight="14.4" x14ac:dyDescent="0.3"/>
  <cols>
    <col min="1" max="1" width="6.88671875" customWidth="1"/>
    <col min="2" max="2" width="9.109375" customWidth="1"/>
    <col min="3" max="3" width="25.6640625" bestFit="1" customWidth="1"/>
    <col min="4" max="4" width="11.21875" customWidth="1"/>
    <col min="5" max="5" width="14.21875" bestFit="1" customWidth="1"/>
    <col min="6" max="6" width="21.44140625" customWidth="1"/>
    <col min="7" max="7" width="22.6640625" customWidth="1"/>
    <col min="8" max="8" width="19.77734375" customWidth="1"/>
    <col min="9" max="9" width="20.6640625" customWidth="1"/>
    <col min="10" max="10" width="25.21875" customWidth="1"/>
    <col min="11" max="11" width="11.77734375" customWidth="1"/>
    <col min="12" max="12" width="15.33203125" customWidth="1"/>
    <col min="13" max="13" width="12.88671875" customWidth="1"/>
  </cols>
  <sheetData>
    <row r="1" spans="1:13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</row>
    <row r="2" spans="1:13" x14ac:dyDescent="0.3">
      <c r="A2" s="3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7</v>
      </c>
      <c r="G2" s="1">
        <v>3</v>
      </c>
      <c r="H2" s="1">
        <v>3</v>
      </c>
      <c r="I2" s="1">
        <v>3</v>
      </c>
      <c r="J2" s="1">
        <v>6</v>
      </c>
      <c r="K2" s="1">
        <v>9</v>
      </c>
      <c r="L2" s="1" t="s">
        <v>17</v>
      </c>
      <c r="M2" s="5">
        <v>2024</v>
      </c>
    </row>
    <row r="3" spans="1:13" x14ac:dyDescent="0.3">
      <c r="A3" s="3">
        <v>2</v>
      </c>
      <c r="B3" s="2" t="s">
        <v>13</v>
      </c>
      <c r="C3" s="2" t="s">
        <v>18</v>
      </c>
      <c r="D3" s="2" t="s">
        <v>15</v>
      </c>
      <c r="E3" s="2" t="s">
        <v>16</v>
      </c>
      <c r="F3" s="1">
        <v>7</v>
      </c>
      <c r="G3" s="2">
        <v>3</v>
      </c>
      <c r="H3" s="2">
        <v>3</v>
      </c>
      <c r="I3" s="2">
        <v>0</v>
      </c>
      <c r="J3" s="1">
        <v>0</v>
      </c>
      <c r="K3" s="1">
        <v>0</v>
      </c>
      <c r="L3" s="2" t="s">
        <v>17</v>
      </c>
      <c r="M3" s="6">
        <v>2024</v>
      </c>
    </row>
    <row r="4" spans="1:13" x14ac:dyDescent="0.3">
      <c r="A4" s="3">
        <v>3</v>
      </c>
      <c r="B4" s="1" t="s">
        <v>13</v>
      </c>
      <c r="C4" s="1" t="s">
        <v>19</v>
      </c>
      <c r="D4" s="1" t="s">
        <v>15</v>
      </c>
      <c r="E4" s="1" t="s">
        <v>16</v>
      </c>
      <c r="F4" s="1">
        <v>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 t="s">
        <v>17</v>
      </c>
      <c r="M4" s="5">
        <v>2024</v>
      </c>
    </row>
    <row r="5" spans="1:13" x14ac:dyDescent="0.3">
      <c r="A5" s="3">
        <v>4</v>
      </c>
      <c r="B5" s="2" t="s">
        <v>13</v>
      </c>
      <c r="C5" s="2" t="s">
        <v>20</v>
      </c>
      <c r="D5" s="2" t="s">
        <v>15</v>
      </c>
      <c r="E5" s="2" t="s">
        <v>16</v>
      </c>
      <c r="F5" s="1">
        <v>7</v>
      </c>
      <c r="G5" s="2">
        <v>6</v>
      </c>
      <c r="H5" s="2">
        <v>6</v>
      </c>
      <c r="I5" s="2">
        <v>6</v>
      </c>
      <c r="J5" s="1">
        <v>0</v>
      </c>
      <c r="K5" s="1">
        <v>6</v>
      </c>
      <c r="L5" s="2" t="s">
        <v>17</v>
      </c>
      <c r="M5" s="6">
        <v>2024</v>
      </c>
    </row>
    <row r="6" spans="1:13" x14ac:dyDescent="0.3">
      <c r="A6" s="3">
        <v>5</v>
      </c>
      <c r="B6" s="1" t="s">
        <v>13</v>
      </c>
      <c r="C6" s="1" t="s">
        <v>21</v>
      </c>
      <c r="D6" s="1" t="s">
        <v>15</v>
      </c>
      <c r="E6" s="1" t="s">
        <v>16</v>
      </c>
      <c r="F6" s="1">
        <v>7</v>
      </c>
      <c r="G6" s="1">
        <v>2</v>
      </c>
      <c r="H6" s="1">
        <v>0</v>
      </c>
      <c r="I6" s="1">
        <v>0</v>
      </c>
      <c r="J6" s="1">
        <v>7</v>
      </c>
      <c r="K6" s="1">
        <v>7</v>
      </c>
      <c r="L6" s="1" t="s">
        <v>17</v>
      </c>
      <c r="M6" s="5">
        <v>2024</v>
      </c>
    </row>
    <row r="7" spans="1:13" x14ac:dyDescent="0.3">
      <c r="A7" s="3">
        <v>6</v>
      </c>
      <c r="B7" s="2" t="s">
        <v>13</v>
      </c>
      <c r="C7" s="2" t="s">
        <v>22</v>
      </c>
      <c r="D7" s="2" t="s">
        <v>15</v>
      </c>
      <c r="E7" s="2" t="s">
        <v>16</v>
      </c>
      <c r="F7" s="1">
        <v>7</v>
      </c>
      <c r="G7" s="2">
        <v>5</v>
      </c>
      <c r="H7" s="2">
        <v>5</v>
      </c>
      <c r="I7" s="2">
        <v>5</v>
      </c>
      <c r="J7" s="1">
        <v>2</v>
      </c>
      <c r="K7" s="1">
        <v>7</v>
      </c>
      <c r="L7" s="2" t="s">
        <v>17</v>
      </c>
      <c r="M7" s="6">
        <v>2024</v>
      </c>
    </row>
    <row r="8" spans="1:13" x14ac:dyDescent="0.3">
      <c r="A8" s="4">
        <v>7</v>
      </c>
      <c r="B8" s="1" t="s">
        <v>13</v>
      </c>
      <c r="C8" s="1" t="s">
        <v>23</v>
      </c>
      <c r="D8" s="1" t="s">
        <v>15</v>
      </c>
      <c r="E8" s="1" t="s">
        <v>16</v>
      </c>
      <c r="F8" s="1">
        <v>7</v>
      </c>
      <c r="G8" s="1">
        <v>9</v>
      </c>
      <c r="H8" s="1">
        <v>9</v>
      </c>
      <c r="I8" s="1">
        <v>9</v>
      </c>
      <c r="J8" s="1">
        <v>3</v>
      </c>
      <c r="K8" s="1">
        <v>12</v>
      </c>
      <c r="L8" s="1" t="s">
        <v>17</v>
      </c>
      <c r="M8" s="5">
        <v>2024</v>
      </c>
    </row>
    <row r="9" spans="1:13" x14ac:dyDescent="0.3">
      <c r="A9" s="3">
        <v>8</v>
      </c>
      <c r="B9" s="2" t="s">
        <v>13</v>
      </c>
      <c r="C9" s="2" t="s">
        <v>24</v>
      </c>
      <c r="D9" s="2" t="s">
        <v>15</v>
      </c>
      <c r="E9" s="2" t="s">
        <v>16</v>
      </c>
      <c r="F9" s="1">
        <v>7</v>
      </c>
      <c r="G9" s="2">
        <v>2</v>
      </c>
      <c r="H9" s="2">
        <v>2</v>
      </c>
      <c r="I9" s="2">
        <v>2</v>
      </c>
      <c r="J9" s="1">
        <v>0</v>
      </c>
      <c r="K9" s="1">
        <v>2</v>
      </c>
      <c r="L9" s="2" t="s">
        <v>17</v>
      </c>
      <c r="M9" s="6">
        <v>2024</v>
      </c>
    </row>
    <row r="10" spans="1:13" x14ac:dyDescent="0.3">
      <c r="A10" s="3">
        <v>9</v>
      </c>
      <c r="B10" s="1" t="s">
        <v>13</v>
      </c>
      <c r="C10" s="1" t="s">
        <v>25</v>
      </c>
      <c r="D10" s="1" t="s">
        <v>15</v>
      </c>
      <c r="E10" s="1" t="s">
        <v>16</v>
      </c>
      <c r="F10" s="1">
        <v>7</v>
      </c>
      <c r="G10" s="1">
        <v>7</v>
      </c>
      <c r="H10" s="1">
        <v>7</v>
      </c>
      <c r="I10" s="1">
        <v>7</v>
      </c>
      <c r="J10" s="1">
        <v>0</v>
      </c>
      <c r="K10" s="1">
        <v>7</v>
      </c>
      <c r="L10" s="1" t="s">
        <v>17</v>
      </c>
      <c r="M10" s="5">
        <v>2024</v>
      </c>
    </row>
    <row r="11" spans="1:13" x14ac:dyDescent="0.3">
      <c r="A11" s="3">
        <v>10</v>
      </c>
      <c r="B11" s="2" t="s">
        <v>13</v>
      </c>
      <c r="C11" s="2" t="s">
        <v>26</v>
      </c>
      <c r="D11" s="2" t="s">
        <v>15</v>
      </c>
      <c r="E11" s="2" t="s">
        <v>16</v>
      </c>
      <c r="F11" s="1">
        <v>7</v>
      </c>
      <c r="G11" s="2">
        <v>2</v>
      </c>
      <c r="H11" s="2">
        <v>2</v>
      </c>
      <c r="I11" s="2">
        <v>2</v>
      </c>
      <c r="J11" s="1">
        <v>0</v>
      </c>
      <c r="K11" s="1">
        <v>2</v>
      </c>
      <c r="L11" s="2" t="s">
        <v>17</v>
      </c>
      <c r="M11" s="6">
        <v>2024</v>
      </c>
    </row>
    <row r="12" spans="1:13" x14ac:dyDescent="0.3">
      <c r="A12" s="3">
        <v>11</v>
      </c>
      <c r="B12" s="1" t="s">
        <v>13</v>
      </c>
      <c r="C12" s="1" t="s">
        <v>27</v>
      </c>
      <c r="D12" s="1" t="s">
        <v>15</v>
      </c>
      <c r="E12" s="1" t="s">
        <v>16</v>
      </c>
      <c r="F12" s="1">
        <v>7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  <c r="L12" s="1" t="s">
        <v>17</v>
      </c>
      <c r="M12" s="5">
        <v>2024</v>
      </c>
    </row>
    <row r="13" spans="1:13" x14ac:dyDescent="0.3">
      <c r="A13" s="3">
        <v>12</v>
      </c>
      <c r="B13" s="2" t="s">
        <v>13</v>
      </c>
      <c r="C13" s="2" t="s">
        <v>28</v>
      </c>
      <c r="D13" s="2" t="s">
        <v>15</v>
      </c>
      <c r="E13" s="2" t="s">
        <v>16</v>
      </c>
      <c r="F13" s="1">
        <v>7</v>
      </c>
      <c r="G13" s="2">
        <v>0</v>
      </c>
      <c r="H13" s="2">
        <v>0</v>
      </c>
      <c r="I13" s="2">
        <v>0</v>
      </c>
      <c r="J13" s="1">
        <v>1</v>
      </c>
      <c r="K13" s="1">
        <v>1</v>
      </c>
      <c r="L13" s="2" t="s">
        <v>17</v>
      </c>
      <c r="M13" s="6">
        <v>2024</v>
      </c>
    </row>
    <row r="14" spans="1:13" x14ac:dyDescent="0.3">
      <c r="A14" s="3">
        <v>13</v>
      </c>
      <c r="B14" s="1" t="s">
        <v>13</v>
      </c>
      <c r="C14" s="1" t="s">
        <v>29</v>
      </c>
      <c r="D14" s="1" t="s">
        <v>15</v>
      </c>
      <c r="E14" s="1" t="s">
        <v>16</v>
      </c>
      <c r="F14" s="1">
        <v>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 t="s">
        <v>17</v>
      </c>
      <c r="M14" s="5">
        <v>2024</v>
      </c>
    </row>
    <row r="15" spans="1:13" x14ac:dyDescent="0.3">
      <c r="A15" s="3">
        <v>14</v>
      </c>
      <c r="B15" s="2" t="s">
        <v>13</v>
      </c>
      <c r="C15" s="2" t="s">
        <v>30</v>
      </c>
      <c r="D15" s="2" t="s">
        <v>15</v>
      </c>
      <c r="E15" s="2" t="s">
        <v>16</v>
      </c>
      <c r="F15" s="1">
        <v>7</v>
      </c>
      <c r="G15" s="2">
        <v>4</v>
      </c>
      <c r="H15" s="2">
        <v>4</v>
      </c>
      <c r="I15" s="2">
        <v>4</v>
      </c>
      <c r="J15" s="1">
        <v>0</v>
      </c>
      <c r="K15" s="1">
        <v>4</v>
      </c>
      <c r="L15" s="2" t="s">
        <v>17</v>
      </c>
      <c r="M15" s="6">
        <v>2024</v>
      </c>
    </row>
    <row r="16" spans="1:13" x14ac:dyDescent="0.3">
      <c r="A16" s="3">
        <v>15</v>
      </c>
      <c r="B16" s="1" t="s">
        <v>13</v>
      </c>
      <c r="C16" s="1" t="s">
        <v>31</v>
      </c>
      <c r="D16" s="1" t="s">
        <v>15</v>
      </c>
      <c r="E16" s="1" t="s">
        <v>16</v>
      </c>
      <c r="F16" s="1">
        <v>7</v>
      </c>
      <c r="G16" s="1">
        <v>3</v>
      </c>
      <c r="H16" s="1">
        <v>2</v>
      </c>
      <c r="I16" s="1">
        <v>2</v>
      </c>
      <c r="J16" s="1">
        <v>1</v>
      </c>
      <c r="K16" s="1">
        <v>3</v>
      </c>
      <c r="L16" s="1" t="s">
        <v>17</v>
      </c>
      <c r="M16" s="5">
        <v>2024</v>
      </c>
    </row>
    <row r="17" spans="1:13" x14ac:dyDescent="0.3">
      <c r="A17" s="3">
        <v>16</v>
      </c>
      <c r="B17" s="2" t="s">
        <v>13</v>
      </c>
      <c r="C17" s="2" t="s">
        <v>32</v>
      </c>
      <c r="D17" s="2" t="s">
        <v>15</v>
      </c>
      <c r="E17" s="2" t="s">
        <v>16</v>
      </c>
      <c r="F17" s="1">
        <v>7</v>
      </c>
      <c r="G17" s="2">
        <v>0</v>
      </c>
      <c r="H17" s="2">
        <v>0</v>
      </c>
      <c r="I17" s="2">
        <v>0</v>
      </c>
      <c r="J17" s="1">
        <v>0</v>
      </c>
      <c r="K17" s="1">
        <v>0</v>
      </c>
      <c r="L17" s="2" t="s">
        <v>17</v>
      </c>
      <c r="M17" s="6">
        <v>2024</v>
      </c>
    </row>
    <row r="18" spans="1:13" x14ac:dyDescent="0.3">
      <c r="A18" s="3">
        <v>17</v>
      </c>
      <c r="B18" s="1" t="s">
        <v>13</v>
      </c>
      <c r="C18" s="1" t="s">
        <v>33</v>
      </c>
      <c r="D18" s="1" t="s">
        <v>15</v>
      </c>
      <c r="E18" s="1" t="s">
        <v>16</v>
      </c>
      <c r="F18" s="1">
        <v>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 t="s">
        <v>17</v>
      </c>
      <c r="M18" s="5">
        <v>2024</v>
      </c>
    </row>
    <row r="19" spans="1:13" x14ac:dyDescent="0.3">
      <c r="A19" s="3">
        <v>18</v>
      </c>
      <c r="B19" s="2" t="s">
        <v>13</v>
      </c>
      <c r="C19" s="2" t="s">
        <v>34</v>
      </c>
      <c r="D19" s="2" t="s">
        <v>15</v>
      </c>
      <c r="E19" s="2" t="s">
        <v>16</v>
      </c>
      <c r="F19" s="1">
        <v>7</v>
      </c>
      <c r="G19" s="2">
        <v>0</v>
      </c>
      <c r="H19" s="2">
        <v>0</v>
      </c>
      <c r="I19" s="2">
        <v>0</v>
      </c>
      <c r="J19" s="1">
        <v>0</v>
      </c>
      <c r="K19" s="1">
        <v>0</v>
      </c>
      <c r="L19" s="2" t="s">
        <v>17</v>
      </c>
      <c r="M19" s="6">
        <v>2024</v>
      </c>
    </row>
    <row r="20" spans="1:13" x14ac:dyDescent="0.3">
      <c r="A20" s="3">
        <v>19</v>
      </c>
      <c r="B20" s="1" t="s">
        <v>13</v>
      </c>
      <c r="C20" s="1" t="s">
        <v>35</v>
      </c>
      <c r="D20" s="1" t="s">
        <v>15</v>
      </c>
      <c r="E20" s="1" t="s">
        <v>16</v>
      </c>
      <c r="F20" s="1">
        <v>7</v>
      </c>
      <c r="G20" s="1">
        <v>2</v>
      </c>
      <c r="H20" s="1">
        <v>2</v>
      </c>
      <c r="I20" s="1">
        <v>2</v>
      </c>
      <c r="J20" s="1">
        <v>2</v>
      </c>
      <c r="K20" s="1">
        <v>4</v>
      </c>
      <c r="L20" s="1" t="s">
        <v>17</v>
      </c>
      <c r="M20" s="5">
        <v>2024</v>
      </c>
    </row>
    <row r="21" spans="1:13" x14ac:dyDescent="0.3">
      <c r="A21" s="3">
        <v>20</v>
      </c>
      <c r="B21" s="2" t="s">
        <v>13</v>
      </c>
      <c r="C21" s="2" t="s">
        <v>36</v>
      </c>
      <c r="D21" s="2" t="s">
        <v>15</v>
      </c>
      <c r="E21" s="2" t="s">
        <v>16</v>
      </c>
      <c r="F21" s="1">
        <v>7</v>
      </c>
      <c r="G21" s="2">
        <v>0</v>
      </c>
      <c r="H21" s="2">
        <v>0</v>
      </c>
      <c r="I21" s="2">
        <v>0</v>
      </c>
      <c r="J21" s="1">
        <v>2</v>
      </c>
      <c r="K21" s="1">
        <v>2</v>
      </c>
      <c r="L21" s="2" t="s">
        <v>17</v>
      </c>
      <c r="M21" s="6">
        <v>2024</v>
      </c>
    </row>
    <row r="22" spans="1:13" x14ac:dyDescent="0.3">
      <c r="A22" s="3">
        <v>21</v>
      </c>
      <c r="B22" s="1" t="s">
        <v>13</v>
      </c>
      <c r="C22" s="1" t="s">
        <v>37</v>
      </c>
      <c r="D22" s="1" t="s">
        <v>15</v>
      </c>
      <c r="E22" s="1" t="s">
        <v>16</v>
      </c>
      <c r="F22" s="1">
        <v>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 t="s">
        <v>17</v>
      </c>
      <c r="M22" s="5">
        <v>2024</v>
      </c>
    </row>
    <row r="23" spans="1:13" x14ac:dyDescent="0.3">
      <c r="A23" s="3">
        <v>22</v>
      </c>
      <c r="B23" s="2" t="s">
        <v>13</v>
      </c>
      <c r="C23" s="2" t="s">
        <v>38</v>
      </c>
      <c r="D23" s="2" t="s">
        <v>15</v>
      </c>
      <c r="E23" s="2" t="s">
        <v>16</v>
      </c>
      <c r="F23" s="1">
        <v>7</v>
      </c>
      <c r="G23" s="2">
        <v>1</v>
      </c>
      <c r="H23" s="2">
        <v>1</v>
      </c>
      <c r="I23" s="2">
        <v>1</v>
      </c>
      <c r="J23" s="1">
        <v>0</v>
      </c>
      <c r="K23" s="1">
        <v>1</v>
      </c>
      <c r="L23" s="2" t="s">
        <v>17</v>
      </c>
      <c r="M23" s="6">
        <v>2024</v>
      </c>
    </row>
    <row r="24" spans="1:13" x14ac:dyDescent="0.3">
      <c r="A24" s="3">
        <v>23</v>
      </c>
      <c r="B24" s="1" t="s">
        <v>13</v>
      </c>
      <c r="C24" s="1" t="s">
        <v>39</v>
      </c>
      <c r="D24" s="1" t="s">
        <v>15</v>
      </c>
      <c r="E24" s="1" t="s">
        <v>16</v>
      </c>
      <c r="F24" s="1">
        <v>7</v>
      </c>
      <c r="G24" s="1">
        <v>5</v>
      </c>
      <c r="H24" s="1">
        <v>5</v>
      </c>
      <c r="I24" s="1">
        <v>5</v>
      </c>
      <c r="J24" s="1">
        <v>0</v>
      </c>
      <c r="K24" s="1">
        <v>5</v>
      </c>
      <c r="L24" s="1" t="s">
        <v>17</v>
      </c>
      <c r="M24" s="5">
        <v>2024</v>
      </c>
    </row>
    <row r="25" spans="1:13" x14ac:dyDescent="0.3">
      <c r="A25" s="3">
        <v>24</v>
      </c>
      <c r="B25" s="2" t="s">
        <v>13</v>
      </c>
      <c r="C25" s="2" t="s">
        <v>40</v>
      </c>
      <c r="D25" s="2" t="s">
        <v>15</v>
      </c>
      <c r="E25" s="2" t="s">
        <v>16</v>
      </c>
      <c r="F25" s="1">
        <v>7</v>
      </c>
      <c r="G25" s="2">
        <v>5</v>
      </c>
      <c r="H25" s="2">
        <v>5</v>
      </c>
      <c r="I25" s="2">
        <v>5</v>
      </c>
      <c r="J25" s="1">
        <v>2</v>
      </c>
      <c r="K25" s="1">
        <v>7</v>
      </c>
      <c r="L25" s="2" t="s">
        <v>17</v>
      </c>
      <c r="M25" s="6">
        <v>2024</v>
      </c>
    </row>
    <row r="26" spans="1:13" x14ac:dyDescent="0.3">
      <c r="A26" s="3">
        <v>25</v>
      </c>
      <c r="B26" s="1" t="s">
        <v>13</v>
      </c>
      <c r="C26" s="1" t="s">
        <v>41</v>
      </c>
      <c r="D26" s="1" t="s">
        <v>15</v>
      </c>
      <c r="E26" s="1" t="s">
        <v>16</v>
      </c>
      <c r="F26" s="1">
        <v>7</v>
      </c>
      <c r="G26" s="1">
        <v>7</v>
      </c>
      <c r="H26" s="1">
        <v>7</v>
      </c>
      <c r="I26" s="1">
        <v>7</v>
      </c>
      <c r="J26" s="1">
        <v>0</v>
      </c>
      <c r="K26" s="1">
        <v>7</v>
      </c>
      <c r="L26" s="1" t="s">
        <v>17</v>
      </c>
      <c r="M26" s="5">
        <v>2024</v>
      </c>
    </row>
    <row r="27" spans="1:13" x14ac:dyDescent="0.3">
      <c r="A27" s="3">
        <v>26</v>
      </c>
      <c r="B27" s="2" t="s">
        <v>13</v>
      </c>
      <c r="C27" s="2" t="s">
        <v>42</v>
      </c>
      <c r="D27" s="2" t="s">
        <v>15</v>
      </c>
      <c r="E27" s="2" t="s">
        <v>16</v>
      </c>
      <c r="F27" s="1">
        <v>7</v>
      </c>
      <c r="G27" s="2">
        <v>0</v>
      </c>
      <c r="H27" s="2">
        <v>0</v>
      </c>
      <c r="I27" s="2">
        <v>0</v>
      </c>
      <c r="J27" s="1">
        <v>1</v>
      </c>
      <c r="K27" s="1">
        <v>1</v>
      </c>
      <c r="L27" s="2" t="s">
        <v>17</v>
      </c>
      <c r="M27" s="6">
        <v>2024</v>
      </c>
    </row>
    <row r="28" spans="1:13" x14ac:dyDescent="0.3">
      <c r="A28" s="3">
        <v>27</v>
      </c>
      <c r="B28" s="1" t="s">
        <v>13</v>
      </c>
      <c r="C28" s="1" t="s">
        <v>43</v>
      </c>
      <c r="D28" s="1" t="s">
        <v>15</v>
      </c>
      <c r="E28" s="1" t="s">
        <v>16</v>
      </c>
      <c r="F28" s="1">
        <v>7</v>
      </c>
      <c r="G28" s="1">
        <v>4</v>
      </c>
      <c r="H28" s="1">
        <v>4</v>
      </c>
      <c r="I28" s="1">
        <v>4</v>
      </c>
      <c r="J28" s="1">
        <v>0</v>
      </c>
      <c r="K28" s="1">
        <v>4</v>
      </c>
      <c r="L28" s="1" t="s">
        <v>17</v>
      </c>
      <c r="M28" s="5">
        <v>2024</v>
      </c>
    </row>
    <row r="29" spans="1:13" x14ac:dyDescent="0.3">
      <c r="A29" s="3">
        <v>28</v>
      </c>
      <c r="B29" s="2" t="s">
        <v>13</v>
      </c>
      <c r="C29" s="2" t="s">
        <v>44</v>
      </c>
      <c r="D29" s="2" t="s">
        <v>15</v>
      </c>
      <c r="E29" s="2" t="s">
        <v>16</v>
      </c>
      <c r="F29" s="1">
        <v>7</v>
      </c>
      <c r="G29" s="2">
        <v>4</v>
      </c>
      <c r="H29" s="2">
        <v>4</v>
      </c>
      <c r="I29" s="2">
        <v>4</v>
      </c>
      <c r="J29" s="1">
        <v>2</v>
      </c>
      <c r="K29" s="1">
        <v>6</v>
      </c>
      <c r="L29" s="2" t="s">
        <v>17</v>
      </c>
      <c r="M29" s="6">
        <v>2024</v>
      </c>
    </row>
    <row r="30" spans="1:13" x14ac:dyDescent="0.3">
      <c r="A30" s="3">
        <v>29</v>
      </c>
      <c r="B30" s="1" t="s">
        <v>13</v>
      </c>
      <c r="C30" s="1" t="s">
        <v>45</v>
      </c>
      <c r="D30" s="1" t="s">
        <v>15</v>
      </c>
      <c r="E30" s="1" t="s">
        <v>16</v>
      </c>
      <c r="F30" s="1">
        <v>7</v>
      </c>
      <c r="G30" s="1">
        <v>1</v>
      </c>
      <c r="H30" s="1">
        <v>1</v>
      </c>
      <c r="I30" s="1">
        <v>1</v>
      </c>
      <c r="J30" s="1">
        <v>4</v>
      </c>
      <c r="K30" s="1">
        <v>5</v>
      </c>
      <c r="L30" s="1" t="s">
        <v>17</v>
      </c>
      <c r="M30" s="5">
        <v>2024</v>
      </c>
    </row>
    <row r="31" spans="1:13" x14ac:dyDescent="0.3">
      <c r="A31" s="3">
        <v>30</v>
      </c>
      <c r="B31" s="2" t="s">
        <v>13</v>
      </c>
      <c r="C31" s="2" t="s">
        <v>46</v>
      </c>
      <c r="D31" s="2" t="s">
        <v>15</v>
      </c>
      <c r="E31" s="2" t="s">
        <v>16</v>
      </c>
      <c r="F31" s="1">
        <v>7</v>
      </c>
      <c r="G31" s="2">
        <v>6</v>
      </c>
      <c r="H31" s="2">
        <v>6</v>
      </c>
      <c r="I31" s="2">
        <v>4</v>
      </c>
      <c r="J31" s="1">
        <v>2</v>
      </c>
      <c r="K31" s="1">
        <v>6</v>
      </c>
      <c r="L31" s="2" t="s">
        <v>17</v>
      </c>
      <c r="M31" s="6">
        <v>2024</v>
      </c>
    </row>
    <row r="32" spans="1:13" x14ac:dyDescent="0.3">
      <c r="A32" s="3">
        <v>31</v>
      </c>
      <c r="B32" s="1" t="s">
        <v>13</v>
      </c>
      <c r="C32" s="1" t="s">
        <v>47</v>
      </c>
      <c r="D32" s="1" t="s">
        <v>15</v>
      </c>
      <c r="E32" s="1" t="s">
        <v>16</v>
      </c>
      <c r="F32" s="1">
        <v>7</v>
      </c>
      <c r="G32" s="1">
        <v>1</v>
      </c>
      <c r="H32" s="1">
        <v>1</v>
      </c>
      <c r="I32" s="1">
        <v>1</v>
      </c>
      <c r="J32" s="1">
        <v>4</v>
      </c>
      <c r="K32" s="1">
        <v>5</v>
      </c>
      <c r="L32" s="1" t="s">
        <v>17</v>
      </c>
      <c r="M32" s="5">
        <v>2024</v>
      </c>
    </row>
    <row r="33" spans="1:13" x14ac:dyDescent="0.3">
      <c r="A33" s="3">
        <v>32</v>
      </c>
      <c r="B33" s="2" t="s">
        <v>13</v>
      </c>
      <c r="C33" s="2" t="s">
        <v>48</v>
      </c>
      <c r="D33" s="2" t="s">
        <v>15</v>
      </c>
      <c r="E33" s="2" t="s">
        <v>16</v>
      </c>
      <c r="F33" s="1">
        <v>7</v>
      </c>
      <c r="G33" s="2">
        <v>2</v>
      </c>
      <c r="H33" s="2">
        <v>2</v>
      </c>
      <c r="I33" s="2">
        <v>2</v>
      </c>
      <c r="J33" s="1">
        <v>0</v>
      </c>
      <c r="K33" s="1">
        <v>2</v>
      </c>
      <c r="L33" s="2" t="s">
        <v>17</v>
      </c>
      <c r="M33" s="6">
        <v>2024</v>
      </c>
    </row>
    <row r="34" spans="1:13" x14ac:dyDescent="0.3">
      <c r="A34" s="3">
        <v>33</v>
      </c>
      <c r="B34" s="1" t="s">
        <v>13</v>
      </c>
      <c r="C34" s="1" t="s">
        <v>49</v>
      </c>
      <c r="D34" s="1" t="s">
        <v>15</v>
      </c>
      <c r="E34" s="1" t="s">
        <v>16</v>
      </c>
      <c r="F34" s="1">
        <v>7</v>
      </c>
      <c r="G34" s="1">
        <v>3</v>
      </c>
      <c r="H34" s="1">
        <v>3</v>
      </c>
      <c r="I34" s="1">
        <v>3</v>
      </c>
      <c r="J34" s="1">
        <v>0</v>
      </c>
      <c r="K34" s="1">
        <v>3</v>
      </c>
      <c r="L34" s="1" t="s">
        <v>17</v>
      </c>
      <c r="M34" s="5">
        <v>2024</v>
      </c>
    </row>
    <row r="35" spans="1:13" x14ac:dyDescent="0.3">
      <c r="A35" s="3">
        <v>34</v>
      </c>
      <c r="B35" s="2" t="s">
        <v>13</v>
      </c>
      <c r="C35" s="2" t="s">
        <v>50</v>
      </c>
      <c r="D35" s="2" t="s">
        <v>15</v>
      </c>
      <c r="E35" s="2" t="s">
        <v>16</v>
      </c>
      <c r="F35" s="1">
        <v>7</v>
      </c>
      <c r="G35" s="2">
        <v>0</v>
      </c>
      <c r="H35" s="2">
        <v>0</v>
      </c>
      <c r="I35" s="2">
        <v>0</v>
      </c>
      <c r="J35" s="1">
        <v>0</v>
      </c>
      <c r="K35" s="1">
        <v>0</v>
      </c>
      <c r="L35" s="2" t="s">
        <v>17</v>
      </c>
      <c r="M35" s="6">
        <v>2024</v>
      </c>
    </row>
    <row r="36" spans="1:13" x14ac:dyDescent="0.3">
      <c r="A36" s="3">
        <v>35</v>
      </c>
      <c r="B36" s="1" t="s">
        <v>13</v>
      </c>
      <c r="C36" s="1" t="s">
        <v>51</v>
      </c>
      <c r="D36" s="1" t="s">
        <v>15</v>
      </c>
      <c r="E36" s="1" t="s">
        <v>16</v>
      </c>
      <c r="F36" s="1">
        <v>7</v>
      </c>
      <c r="G36" s="1">
        <v>6</v>
      </c>
      <c r="H36" s="1">
        <v>6</v>
      </c>
      <c r="I36" s="1">
        <v>6</v>
      </c>
      <c r="J36" s="1">
        <v>0</v>
      </c>
      <c r="K36" s="1">
        <v>6</v>
      </c>
      <c r="L36" s="1" t="s">
        <v>17</v>
      </c>
      <c r="M36" s="5">
        <v>2024</v>
      </c>
    </row>
    <row r="37" spans="1:13" x14ac:dyDescent="0.3">
      <c r="A37" s="3">
        <v>36</v>
      </c>
      <c r="B37" s="2" t="s">
        <v>13</v>
      </c>
      <c r="C37" s="2" t="s">
        <v>52</v>
      </c>
      <c r="D37" s="2" t="s">
        <v>15</v>
      </c>
      <c r="E37" s="2" t="s">
        <v>16</v>
      </c>
      <c r="F37" s="1">
        <v>7</v>
      </c>
      <c r="G37" s="2">
        <v>0</v>
      </c>
      <c r="H37" s="2">
        <v>0</v>
      </c>
      <c r="I37" s="2">
        <v>0</v>
      </c>
      <c r="J37" s="1">
        <v>0</v>
      </c>
      <c r="K37" s="1">
        <v>0</v>
      </c>
      <c r="L37" s="2" t="s">
        <v>17</v>
      </c>
      <c r="M37" s="6">
        <v>2024</v>
      </c>
    </row>
    <row r="38" spans="1:13" x14ac:dyDescent="0.3">
      <c r="A38" s="3">
        <v>37</v>
      </c>
      <c r="B38" s="1" t="s">
        <v>13</v>
      </c>
      <c r="C38" s="1" t="s">
        <v>53</v>
      </c>
      <c r="D38" s="1" t="s">
        <v>15</v>
      </c>
      <c r="E38" s="1" t="s">
        <v>16</v>
      </c>
      <c r="F38" s="1">
        <v>7</v>
      </c>
      <c r="G38" s="1">
        <v>3</v>
      </c>
      <c r="H38" s="1">
        <v>3</v>
      </c>
      <c r="I38" s="1">
        <v>3</v>
      </c>
      <c r="J38" s="1">
        <v>0</v>
      </c>
      <c r="K38" s="1">
        <v>3</v>
      </c>
      <c r="L38" s="1" t="s">
        <v>17</v>
      </c>
      <c r="M38" s="5">
        <v>2024</v>
      </c>
    </row>
    <row r="39" spans="1:13" x14ac:dyDescent="0.3">
      <c r="A39" s="3">
        <v>38</v>
      </c>
      <c r="B39" s="2" t="s">
        <v>13</v>
      </c>
      <c r="C39" s="2" t="s">
        <v>54</v>
      </c>
      <c r="D39" s="2" t="s">
        <v>15</v>
      </c>
      <c r="E39" s="2" t="s">
        <v>16</v>
      </c>
      <c r="F39" s="1">
        <v>7</v>
      </c>
      <c r="G39" s="2">
        <v>5</v>
      </c>
      <c r="H39" s="2">
        <v>3</v>
      </c>
      <c r="I39" s="2">
        <v>1</v>
      </c>
      <c r="J39" s="1">
        <v>0</v>
      </c>
      <c r="K39" s="1">
        <v>1</v>
      </c>
      <c r="L39" s="2" t="s">
        <v>17</v>
      </c>
      <c r="M39" s="6">
        <v>2024</v>
      </c>
    </row>
    <row r="40" spans="1:13" x14ac:dyDescent="0.3">
      <c r="A40" s="3">
        <v>39</v>
      </c>
      <c r="B40" s="1" t="s">
        <v>13</v>
      </c>
      <c r="C40" s="1" t="s">
        <v>55</v>
      </c>
      <c r="D40" s="1" t="s">
        <v>15</v>
      </c>
      <c r="E40" s="1" t="s">
        <v>16</v>
      </c>
      <c r="F40" s="1">
        <v>7</v>
      </c>
      <c r="G40" s="1">
        <v>4</v>
      </c>
      <c r="H40" s="1">
        <v>4</v>
      </c>
      <c r="I40" s="1">
        <v>4</v>
      </c>
      <c r="J40" s="1">
        <v>0</v>
      </c>
      <c r="K40" s="1">
        <v>4</v>
      </c>
      <c r="L40" s="1" t="s">
        <v>17</v>
      </c>
      <c r="M40" s="5">
        <v>2024</v>
      </c>
    </row>
    <row r="41" spans="1:13" x14ac:dyDescent="0.3">
      <c r="A41" s="3">
        <v>40</v>
      </c>
      <c r="B41" s="2" t="s">
        <v>13</v>
      </c>
      <c r="C41" s="2" t="s">
        <v>56</v>
      </c>
      <c r="D41" s="2" t="s">
        <v>15</v>
      </c>
      <c r="E41" s="2" t="s">
        <v>16</v>
      </c>
      <c r="F41" s="1">
        <v>7</v>
      </c>
      <c r="G41" s="2">
        <v>1</v>
      </c>
      <c r="H41" s="2">
        <v>1</v>
      </c>
      <c r="I41" s="2">
        <v>1</v>
      </c>
      <c r="J41" s="1">
        <v>1</v>
      </c>
      <c r="K41" s="1">
        <v>2</v>
      </c>
      <c r="L41" s="2" t="s">
        <v>17</v>
      </c>
      <c r="M41" s="6">
        <v>2024</v>
      </c>
    </row>
    <row r="42" spans="1:13" x14ac:dyDescent="0.3">
      <c r="A42" s="3">
        <v>41</v>
      </c>
      <c r="B42" s="1" t="s">
        <v>13</v>
      </c>
      <c r="C42" s="1" t="s">
        <v>57</v>
      </c>
      <c r="D42" s="1" t="s">
        <v>15</v>
      </c>
      <c r="E42" s="1" t="s">
        <v>16</v>
      </c>
      <c r="F42" s="1">
        <v>7</v>
      </c>
      <c r="G42" s="1">
        <v>4</v>
      </c>
      <c r="H42" s="1">
        <v>4</v>
      </c>
      <c r="I42" s="1">
        <v>4</v>
      </c>
      <c r="J42" s="1">
        <v>1</v>
      </c>
      <c r="K42" s="1">
        <v>5</v>
      </c>
      <c r="L42" s="1" t="s">
        <v>17</v>
      </c>
      <c r="M42" s="5">
        <v>2024</v>
      </c>
    </row>
    <row r="43" spans="1:13" x14ac:dyDescent="0.3">
      <c r="A43" s="3">
        <v>42</v>
      </c>
      <c r="B43" s="2" t="s">
        <v>13</v>
      </c>
      <c r="C43" s="2" t="s">
        <v>58</v>
      </c>
      <c r="D43" s="2" t="s">
        <v>15</v>
      </c>
      <c r="E43" s="2" t="s">
        <v>16</v>
      </c>
      <c r="F43" s="1">
        <v>7</v>
      </c>
      <c r="G43" s="2">
        <v>0</v>
      </c>
      <c r="H43" s="2">
        <v>0</v>
      </c>
      <c r="I43" s="2">
        <v>0</v>
      </c>
      <c r="J43" s="1">
        <v>0</v>
      </c>
      <c r="K43" s="1">
        <v>0</v>
      </c>
      <c r="L43" s="2" t="s">
        <v>17</v>
      </c>
      <c r="M43" s="6">
        <v>2024</v>
      </c>
    </row>
    <row r="44" spans="1:13" x14ac:dyDescent="0.3">
      <c r="A44" s="3">
        <v>43</v>
      </c>
      <c r="B44" s="1" t="s">
        <v>13</v>
      </c>
      <c r="C44" s="1" t="s">
        <v>59</v>
      </c>
      <c r="D44" s="1" t="s">
        <v>15</v>
      </c>
      <c r="E44" s="1" t="s">
        <v>16</v>
      </c>
      <c r="F44" s="1">
        <v>7</v>
      </c>
      <c r="G44" s="1">
        <v>7</v>
      </c>
      <c r="H44" s="1">
        <v>7</v>
      </c>
      <c r="I44" s="1">
        <v>7</v>
      </c>
      <c r="J44" s="1">
        <v>0</v>
      </c>
      <c r="K44" s="1">
        <v>7</v>
      </c>
      <c r="L44" s="1" t="s">
        <v>17</v>
      </c>
      <c r="M44" s="5">
        <v>2024</v>
      </c>
    </row>
    <row r="45" spans="1:13" x14ac:dyDescent="0.3">
      <c r="A45" s="3">
        <v>44</v>
      </c>
      <c r="B45" s="2" t="s">
        <v>13</v>
      </c>
      <c r="C45" s="2" t="s">
        <v>60</v>
      </c>
      <c r="D45" s="2" t="s">
        <v>15</v>
      </c>
      <c r="E45" s="2" t="s">
        <v>16</v>
      </c>
      <c r="F45" s="1">
        <v>7</v>
      </c>
      <c r="G45" s="2">
        <v>4</v>
      </c>
      <c r="H45" s="2">
        <v>3</v>
      </c>
      <c r="I45" s="2">
        <v>3</v>
      </c>
      <c r="J45" s="1">
        <v>0</v>
      </c>
      <c r="K45" s="1">
        <v>3</v>
      </c>
      <c r="L45" s="2" t="s">
        <v>17</v>
      </c>
      <c r="M45" s="6">
        <v>2024</v>
      </c>
    </row>
    <row r="46" spans="1:13" x14ac:dyDescent="0.3">
      <c r="A46" s="3">
        <v>45</v>
      </c>
      <c r="B46" s="1" t="s">
        <v>13</v>
      </c>
      <c r="C46" s="1" t="s">
        <v>61</v>
      </c>
      <c r="D46" s="1" t="s">
        <v>15</v>
      </c>
      <c r="E46" s="1" t="s">
        <v>16</v>
      </c>
      <c r="F46" s="1">
        <v>7</v>
      </c>
      <c r="G46" s="1">
        <v>8</v>
      </c>
      <c r="H46" s="1">
        <v>8</v>
      </c>
      <c r="I46" s="1">
        <v>8</v>
      </c>
      <c r="J46" s="1">
        <v>4</v>
      </c>
      <c r="K46" s="1">
        <v>12</v>
      </c>
      <c r="L46" s="1" t="s">
        <v>17</v>
      </c>
      <c r="M46" s="5">
        <v>2024</v>
      </c>
    </row>
    <row r="47" spans="1:13" x14ac:dyDescent="0.3">
      <c r="A47" s="3">
        <v>46</v>
      </c>
      <c r="B47" s="2" t="s">
        <v>13</v>
      </c>
      <c r="C47" s="2" t="s">
        <v>62</v>
      </c>
      <c r="D47" s="2" t="s">
        <v>15</v>
      </c>
      <c r="E47" s="2" t="s">
        <v>16</v>
      </c>
      <c r="F47" s="1">
        <v>7</v>
      </c>
      <c r="G47" s="2">
        <v>0</v>
      </c>
      <c r="H47" s="2">
        <v>0</v>
      </c>
      <c r="I47" s="2">
        <v>0</v>
      </c>
      <c r="J47" s="1">
        <v>0</v>
      </c>
      <c r="K47" s="1">
        <v>0</v>
      </c>
      <c r="L47" s="2" t="s">
        <v>17</v>
      </c>
      <c r="M47" s="6">
        <v>2024</v>
      </c>
    </row>
    <row r="48" spans="1:13" x14ac:dyDescent="0.3">
      <c r="A48" s="3">
        <v>47</v>
      </c>
      <c r="B48" s="1" t="s">
        <v>13</v>
      </c>
      <c r="C48" s="1" t="s">
        <v>63</v>
      </c>
      <c r="D48" s="1" t="s">
        <v>15</v>
      </c>
      <c r="E48" s="1" t="s">
        <v>16</v>
      </c>
      <c r="F48" s="1">
        <v>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 t="s">
        <v>17</v>
      </c>
      <c r="M48" s="5">
        <v>2024</v>
      </c>
    </row>
    <row r="49" spans="1:13" x14ac:dyDescent="0.3">
      <c r="A49" s="3">
        <v>48</v>
      </c>
      <c r="B49" s="2" t="s">
        <v>13</v>
      </c>
      <c r="C49" s="2" t="s">
        <v>64</v>
      </c>
      <c r="D49" s="2" t="s">
        <v>15</v>
      </c>
      <c r="E49" s="2" t="s">
        <v>16</v>
      </c>
      <c r="F49" s="1">
        <v>7</v>
      </c>
      <c r="G49" s="2">
        <v>7</v>
      </c>
      <c r="H49" s="2">
        <v>7</v>
      </c>
      <c r="I49" s="2">
        <v>7</v>
      </c>
      <c r="J49" s="1">
        <v>0</v>
      </c>
      <c r="K49" s="1">
        <v>7</v>
      </c>
      <c r="L49" s="2" t="s">
        <v>17</v>
      </c>
      <c r="M49" s="6">
        <v>2024</v>
      </c>
    </row>
    <row r="50" spans="1:13" x14ac:dyDescent="0.3">
      <c r="A50" s="3">
        <v>49</v>
      </c>
      <c r="B50" s="1" t="s">
        <v>13</v>
      </c>
      <c r="C50" s="1" t="s">
        <v>65</v>
      </c>
      <c r="D50" s="1" t="s">
        <v>15</v>
      </c>
      <c r="E50" s="1" t="s">
        <v>16</v>
      </c>
      <c r="F50" s="1">
        <v>7</v>
      </c>
      <c r="G50" s="1">
        <v>0</v>
      </c>
      <c r="H50" s="1">
        <v>0</v>
      </c>
      <c r="I50" s="1">
        <v>0</v>
      </c>
      <c r="J50" s="1">
        <v>7</v>
      </c>
      <c r="K50" s="1">
        <v>7</v>
      </c>
      <c r="L50" s="1" t="s">
        <v>17</v>
      </c>
      <c r="M50" s="5">
        <v>2024</v>
      </c>
    </row>
    <row r="51" spans="1:13" x14ac:dyDescent="0.3">
      <c r="A51" s="3">
        <v>50</v>
      </c>
      <c r="B51" s="2" t="s">
        <v>13</v>
      </c>
      <c r="C51" s="2" t="s">
        <v>66</v>
      </c>
      <c r="D51" s="2" t="s">
        <v>15</v>
      </c>
      <c r="E51" s="2" t="s">
        <v>16</v>
      </c>
      <c r="F51" s="1">
        <v>7</v>
      </c>
      <c r="G51" s="2">
        <v>3</v>
      </c>
      <c r="H51" s="2">
        <v>3</v>
      </c>
      <c r="I51" s="2">
        <v>3</v>
      </c>
      <c r="J51" s="1">
        <v>11</v>
      </c>
      <c r="K51" s="1">
        <v>14</v>
      </c>
      <c r="L51" s="2" t="s">
        <v>17</v>
      </c>
      <c r="M51" s="6">
        <v>2024</v>
      </c>
    </row>
    <row r="52" spans="1:13" x14ac:dyDescent="0.3">
      <c r="A52" s="3">
        <v>51</v>
      </c>
      <c r="B52" s="1" t="s">
        <v>13</v>
      </c>
      <c r="C52" s="1" t="s">
        <v>67</v>
      </c>
      <c r="D52" s="1" t="s">
        <v>15</v>
      </c>
      <c r="E52" s="1" t="s">
        <v>16</v>
      </c>
      <c r="F52" s="1">
        <v>7</v>
      </c>
      <c r="G52" s="1">
        <v>3</v>
      </c>
      <c r="H52" s="1">
        <v>3</v>
      </c>
      <c r="I52" s="1">
        <v>2</v>
      </c>
      <c r="J52" s="1">
        <v>0</v>
      </c>
      <c r="K52" s="1">
        <v>2</v>
      </c>
      <c r="L52" s="1" t="s">
        <v>17</v>
      </c>
      <c r="M52" s="5">
        <v>2024</v>
      </c>
    </row>
    <row r="53" spans="1:13" x14ac:dyDescent="0.3">
      <c r="A53" s="3">
        <v>52</v>
      </c>
      <c r="B53" s="2" t="s">
        <v>13</v>
      </c>
      <c r="C53" s="2" t="s">
        <v>68</v>
      </c>
      <c r="D53" s="2" t="s">
        <v>15</v>
      </c>
      <c r="E53" s="2" t="s">
        <v>16</v>
      </c>
      <c r="F53" s="1">
        <v>7</v>
      </c>
      <c r="G53" s="2">
        <v>2</v>
      </c>
      <c r="H53" s="2">
        <v>2</v>
      </c>
      <c r="I53" s="2">
        <v>2</v>
      </c>
      <c r="J53" s="1">
        <v>0</v>
      </c>
      <c r="K53" s="1">
        <v>2</v>
      </c>
      <c r="L53" s="2" t="s">
        <v>17</v>
      </c>
      <c r="M53" s="6">
        <v>2024</v>
      </c>
    </row>
    <row r="54" spans="1:13" x14ac:dyDescent="0.3">
      <c r="A54" s="3">
        <v>53</v>
      </c>
      <c r="B54" s="1" t="s">
        <v>13</v>
      </c>
      <c r="C54" s="1" t="s">
        <v>69</v>
      </c>
      <c r="D54" s="1" t="s">
        <v>15</v>
      </c>
      <c r="E54" s="1" t="s">
        <v>16</v>
      </c>
      <c r="F54" s="1">
        <v>7</v>
      </c>
      <c r="G54" s="1">
        <v>2</v>
      </c>
      <c r="H54" s="1">
        <v>0</v>
      </c>
      <c r="I54" s="1">
        <v>0</v>
      </c>
      <c r="J54" s="1">
        <v>0</v>
      </c>
      <c r="K54" s="1">
        <v>0</v>
      </c>
      <c r="L54" s="1" t="s">
        <v>17</v>
      </c>
      <c r="M54" s="5">
        <v>2024</v>
      </c>
    </row>
    <row r="55" spans="1:13" x14ac:dyDescent="0.3">
      <c r="A55" s="3">
        <v>54</v>
      </c>
      <c r="B55" s="2" t="s">
        <v>13</v>
      </c>
      <c r="C55" s="2" t="s">
        <v>70</v>
      </c>
      <c r="D55" s="2" t="s">
        <v>15</v>
      </c>
      <c r="E55" s="2" t="s">
        <v>16</v>
      </c>
      <c r="F55" s="1">
        <v>7</v>
      </c>
      <c r="G55" s="2">
        <v>1</v>
      </c>
      <c r="H55" s="2">
        <v>1</v>
      </c>
      <c r="I55" s="2">
        <v>1</v>
      </c>
      <c r="J55" s="1">
        <v>7</v>
      </c>
      <c r="K55" s="1">
        <v>8</v>
      </c>
      <c r="L55" s="2" t="s">
        <v>17</v>
      </c>
      <c r="M55" s="6">
        <v>2024</v>
      </c>
    </row>
    <row r="56" spans="1:13" x14ac:dyDescent="0.3">
      <c r="A56" s="3">
        <v>55</v>
      </c>
      <c r="B56" s="1" t="s">
        <v>13</v>
      </c>
      <c r="C56" s="1" t="s">
        <v>71</v>
      </c>
      <c r="D56" s="1" t="s">
        <v>15</v>
      </c>
      <c r="E56" s="1" t="s">
        <v>16</v>
      </c>
      <c r="F56" s="1">
        <v>7</v>
      </c>
      <c r="G56" s="1">
        <v>1</v>
      </c>
      <c r="H56" s="1">
        <v>1</v>
      </c>
      <c r="I56" s="1">
        <v>1</v>
      </c>
      <c r="J56" s="1">
        <v>0</v>
      </c>
      <c r="K56" s="1">
        <v>1</v>
      </c>
      <c r="L56" s="1" t="s">
        <v>17</v>
      </c>
      <c r="M56" s="5">
        <v>2024</v>
      </c>
    </row>
    <row r="57" spans="1:13" x14ac:dyDescent="0.3">
      <c r="A57" s="3">
        <v>56</v>
      </c>
      <c r="B57" s="2" t="s">
        <v>13</v>
      </c>
      <c r="C57" s="2" t="s">
        <v>72</v>
      </c>
      <c r="D57" s="2" t="s">
        <v>15</v>
      </c>
      <c r="E57" s="2" t="s">
        <v>16</v>
      </c>
      <c r="F57" s="1">
        <v>7</v>
      </c>
      <c r="G57" s="2">
        <v>3</v>
      </c>
      <c r="H57" s="2">
        <v>3</v>
      </c>
      <c r="I57" s="2">
        <v>3</v>
      </c>
      <c r="J57" s="1">
        <v>0</v>
      </c>
      <c r="K57" s="1">
        <v>3</v>
      </c>
      <c r="L57" s="2" t="s">
        <v>17</v>
      </c>
      <c r="M57" s="6">
        <v>2024</v>
      </c>
    </row>
    <row r="58" spans="1:13" x14ac:dyDescent="0.3">
      <c r="A58" s="3">
        <v>57</v>
      </c>
      <c r="B58" s="1" t="s">
        <v>13</v>
      </c>
      <c r="C58" s="1" t="s">
        <v>73</v>
      </c>
      <c r="D58" s="1" t="s">
        <v>15</v>
      </c>
      <c r="E58" s="1" t="s">
        <v>16</v>
      </c>
      <c r="F58" s="1">
        <v>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 t="s">
        <v>17</v>
      </c>
      <c r="M58" s="5">
        <v>2024</v>
      </c>
    </row>
    <row r="59" spans="1:13" x14ac:dyDescent="0.3">
      <c r="A59" s="3">
        <v>58</v>
      </c>
      <c r="B59" s="2" t="s">
        <v>13</v>
      </c>
      <c r="C59" s="2" t="s">
        <v>74</v>
      </c>
      <c r="D59" s="2" t="s">
        <v>15</v>
      </c>
      <c r="E59" s="2" t="s">
        <v>16</v>
      </c>
      <c r="F59" s="1">
        <v>7</v>
      </c>
      <c r="G59" s="2">
        <v>0</v>
      </c>
      <c r="H59" s="2">
        <v>0</v>
      </c>
      <c r="I59" s="2">
        <v>0</v>
      </c>
      <c r="J59" s="1">
        <v>0</v>
      </c>
      <c r="K59" s="1">
        <v>0</v>
      </c>
      <c r="L59" s="2" t="s">
        <v>17</v>
      </c>
      <c r="M59" s="6">
        <v>2024</v>
      </c>
    </row>
    <row r="60" spans="1:13" x14ac:dyDescent="0.3">
      <c r="A60" s="3">
        <v>59</v>
      </c>
      <c r="B60" s="1" t="s">
        <v>13</v>
      </c>
      <c r="C60" s="1" t="s">
        <v>75</v>
      </c>
      <c r="D60" s="1" t="s">
        <v>15</v>
      </c>
      <c r="E60" s="1" t="s">
        <v>16</v>
      </c>
      <c r="F60" s="1">
        <v>7</v>
      </c>
      <c r="G60" s="1">
        <v>0</v>
      </c>
      <c r="H60" s="1">
        <v>0</v>
      </c>
      <c r="I60" s="1">
        <v>0</v>
      </c>
      <c r="J60" s="1">
        <v>4</v>
      </c>
      <c r="K60" s="1">
        <v>4</v>
      </c>
      <c r="L60" s="1" t="s">
        <v>17</v>
      </c>
      <c r="M60" s="5">
        <v>2024</v>
      </c>
    </row>
    <row r="61" spans="1:13" x14ac:dyDescent="0.3">
      <c r="A61" s="3">
        <v>60</v>
      </c>
      <c r="B61" s="2" t="s">
        <v>13</v>
      </c>
      <c r="C61" s="2" t="s">
        <v>76</v>
      </c>
      <c r="D61" s="2" t="s">
        <v>15</v>
      </c>
      <c r="E61" s="2" t="s">
        <v>16</v>
      </c>
      <c r="F61" s="1">
        <v>7</v>
      </c>
      <c r="G61" s="2">
        <v>0</v>
      </c>
      <c r="H61" s="2">
        <v>0</v>
      </c>
      <c r="I61" s="2">
        <v>0</v>
      </c>
      <c r="J61" s="1">
        <v>0</v>
      </c>
      <c r="K61" s="1">
        <v>0</v>
      </c>
      <c r="L61" s="2" t="s">
        <v>17</v>
      </c>
      <c r="M61" s="6">
        <v>2024</v>
      </c>
    </row>
    <row r="62" spans="1:13" x14ac:dyDescent="0.3">
      <c r="A62" s="3">
        <v>61</v>
      </c>
      <c r="B62" s="1" t="s">
        <v>13</v>
      </c>
      <c r="C62" s="1" t="s">
        <v>77</v>
      </c>
      <c r="D62" s="1" t="s">
        <v>15</v>
      </c>
      <c r="E62" s="1" t="s">
        <v>16</v>
      </c>
      <c r="F62" s="1">
        <v>7</v>
      </c>
      <c r="G62" s="1">
        <v>4</v>
      </c>
      <c r="H62" s="1">
        <v>4</v>
      </c>
      <c r="I62" s="1">
        <v>1</v>
      </c>
      <c r="J62" s="1">
        <v>0</v>
      </c>
      <c r="K62" s="1">
        <v>1</v>
      </c>
      <c r="L62" s="1" t="s">
        <v>17</v>
      </c>
      <c r="M62" s="5">
        <v>2024</v>
      </c>
    </row>
    <row r="63" spans="1:13" x14ac:dyDescent="0.3">
      <c r="A63" s="3">
        <v>62</v>
      </c>
      <c r="B63" s="2" t="s">
        <v>13</v>
      </c>
      <c r="C63" s="2" t="s">
        <v>78</v>
      </c>
      <c r="D63" s="2" t="s">
        <v>15</v>
      </c>
      <c r="E63" s="2" t="s">
        <v>16</v>
      </c>
      <c r="F63" s="1">
        <v>7</v>
      </c>
      <c r="G63" s="2">
        <v>8</v>
      </c>
      <c r="H63" s="2">
        <v>8</v>
      </c>
      <c r="I63" s="2">
        <v>8</v>
      </c>
      <c r="J63" s="1">
        <v>0</v>
      </c>
      <c r="K63" s="1">
        <v>8</v>
      </c>
      <c r="L63" s="2" t="s">
        <v>17</v>
      </c>
      <c r="M63" s="6">
        <v>2024</v>
      </c>
    </row>
    <row r="64" spans="1:13" x14ac:dyDescent="0.3">
      <c r="A64" s="3">
        <v>63</v>
      </c>
      <c r="B64" s="1" t="s">
        <v>13</v>
      </c>
      <c r="C64" s="1" t="s">
        <v>79</v>
      </c>
      <c r="D64" s="1" t="s">
        <v>15</v>
      </c>
      <c r="E64" s="1" t="s">
        <v>16</v>
      </c>
      <c r="F64" s="1">
        <v>7</v>
      </c>
      <c r="G64" s="1">
        <v>3</v>
      </c>
      <c r="H64" s="1">
        <v>3</v>
      </c>
      <c r="I64" s="1">
        <v>3</v>
      </c>
      <c r="J64" s="1">
        <v>0</v>
      </c>
      <c r="K64" s="1">
        <v>3</v>
      </c>
      <c r="L64" s="1" t="s">
        <v>17</v>
      </c>
      <c r="M64" s="5">
        <v>2024</v>
      </c>
    </row>
    <row r="65" spans="1:13" x14ac:dyDescent="0.3">
      <c r="A65" s="3">
        <v>64</v>
      </c>
      <c r="B65" s="2" t="s">
        <v>13</v>
      </c>
      <c r="C65" s="2" t="s">
        <v>80</v>
      </c>
      <c r="D65" s="2" t="s">
        <v>15</v>
      </c>
      <c r="E65" s="2" t="s">
        <v>16</v>
      </c>
      <c r="F65" s="1">
        <v>7</v>
      </c>
      <c r="G65" s="2">
        <v>0</v>
      </c>
      <c r="H65" s="2">
        <v>0</v>
      </c>
      <c r="I65" s="2">
        <v>0</v>
      </c>
      <c r="J65" s="1">
        <v>0</v>
      </c>
      <c r="K65" s="1">
        <v>0</v>
      </c>
      <c r="L65" s="2" t="s">
        <v>17</v>
      </c>
      <c r="M65" s="6">
        <v>2024</v>
      </c>
    </row>
    <row r="66" spans="1:13" x14ac:dyDescent="0.3">
      <c r="A66" s="3">
        <v>65</v>
      </c>
      <c r="B66" s="1" t="s">
        <v>81</v>
      </c>
      <c r="C66" s="1" t="s">
        <v>82</v>
      </c>
      <c r="D66" s="1" t="s">
        <v>15</v>
      </c>
      <c r="E66" s="1" t="s">
        <v>16</v>
      </c>
      <c r="F66" s="1">
        <v>7</v>
      </c>
      <c r="G66" s="1">
        <v>2</v>
      </c>
      <c r="H66" s="1">
        <v>2</v>
      </c>
      <c r="I66" s="1">
        <v>2</v>
      </c>
      <c r="J66" s="1">
        <v>0</v>
      </c>
      <c r="K66" s="1">
        <v>2</v>
      </c>
      <c r="L66" s="1" t="s">
        <v>17</v>
      </c>
      <c r="M66" s="5">
        <v>2024</v>
      </c>
    </row>
    <row r="67" spans="1:13" x14ac:dyDescent="0.3">
      <c r="A67" s="3">
        <v>66</v>
      </c>
      <c r="B67" s="2" t="s">
        <v>81</v>
      </c>
      <c r="C67" s="2" t="s">
        <v>83</v>
      </c>
      <c r="D67" s="2" t="s">
        <v>15</v>
      </c>
      <c r="E67" s="2" t="s">
        <v>16</v>
      </c>
      <c r="F67" s="1">
        <v>7</v>
      </c>
      <c r="G67" s="2">
        <v>1</v>
      </c>
      <c r="H67" s="2">
        <v>1</v>
      </c>
      <c r="I67" s="2">
        <v>1</v>
      </c>
      <c r="J67" s="1">
        <v>0</v>
      </c>
      <c r="K67" s="1">
        <v>1</v>
      </c>
      <c r="L67" s="2" t="s">
        <v>17</v>
      </c>
      <c r="M67" s="6">
        <v>2024</v>
      </c>
    </row>
    <row r="68" spans="1:13" x14ac:dyDescent="0.3">
      <c r="A68" s="3">
        <v>67</v>
      </c>
      <c r="B68" s="1" t="s">
        <v>81</v>
      </c>
      <c r="C68" s="1" t="s">
        <v>84</v>
      </c>
      <c r="D68" s="1" t="s">
        <v>15</v>
      </c>
      <c r="E68" s="1" t="s">
        <v>16</v>
      </c>
      <c r="F68" s="1">
        <v>7</v>
      </c>
      <c r="G68" s="1">
        <v>2</v>
      </c>
      <c r="H68" s="1">
        <v>2</v>
      </c>
      <c r="I68" s="1">
        <v>2</v>
      </c>
      <c r="J68" s="1">
        <v>2</v>
      </c>
      <c r="K68" s="1">
        <v>4</v>
      </c>
      <c r="L68" s="1" t="s">
        <v>17</v>
      </c>
      <c r="M68" s="5">
        <v>2024</v>
      </c>
    </row>
    <row r="69" spans="1:13" x14ac:dyDescent="0.3">
      <c r="A69" s="3">
        <v>68</v>
      </c>
      <c r="B69" s="2" t="s">
        <v>81</v>
      </c>
      <c r="C69" s="2" t="s">
        <v>85</v>
      </c>
      <c r="D69" s="2" t="s">
        <v>15</v>
      </c>
      <c r="E69" s="2" t="s">
        <v>16</v>
      </c>
      <c r="F69" s="1">
        <v>7</v>
      </c>
      <c r="G69" s="2">
        <v>2</v>
      </c>
      <c r="H69" s="2">
        <v>2</v>
      </c>
      <c r="I69" s="2">
        <v>0</v>
      </c>
      <c r="J69" s="1">
        <v>0</v>
      </c>
      <c r="K69" s="1">
        <v>0</v>
      </c>
      <c r="L69" s="2" t="s">
        <v>17</v>
      </c>
      <c r="M69" s="6">
        <v>2024</v>
      </c>
    </row>
    <row r="70" spans="1:13" x14ac:dyDescent="0.3">
      <c r="A70" s="3">
        <v>69</v>
      </c>
      <c r="B70" s="1" t="s">
        <v>81</v>
      </c>
      <c r="C70" s="1" t="s">
        <v>86</v>
      </c>
      <c r="D70" s="1" t="s">
        <v>15</v>
      </c>
      <c r="E70" s="1" t="s">
        <v>16</v>
      </c>
      <c r="F70" s="1">
        <v>7</v>
      </c>
      <c r="G70" s="1">
        <v>2</v>
      </c>
      <c r="H70" s="1">
        <v>1</v>
      </c>
      <c r="I70" s="1">
        <v>1</v>
      </c>
      <c r="J70" s="1">
        <v>0</v>
      </c>
      <c r="K70" s="1">
        <v>1</v>
      </c>
      <c r="L70" s="1" t="s">
        <v>17</v>
      </c>
      <c r="M70" s="5">
        <v>2024</v>
      </c>
    </row>
    <row r="71" spans="1:13" x14ac:dyDescent="0.3">
      <c r="A71" s="3">
        <v>70</v>
      </c>
      <c r="B71" s="2" t="s">
        <v>81</v>
      </c>
      <c r="C71" s="2" t="s">
        <v>87</v>
      </c>
      <c r="D71" s="2" t="s">
        <v>15</v>
      </c>
      <c r="E71" s="2" t="s">
        <v>16</v>
      </c>
      <c r="F71" s="1">
        <v>7</v>
      </c>
      <c r="G71" s="2">
        <v>3</v>
      </c>
      <c r="H71" s="2">
        <v>3</v>
      </c>
      <c r="I71" s="2">
        <v>3</v>
      </c>
      <c r="J71" s="1">
        <v>0</v>
      </c>
      <c r="K71" s="1">
        <v>3</v>
      </c>
      <c r="L71" s="2" t="s">
        <v>17</v>
      </c>
      <c r="M71" s="6">
        <v>2024</v>
      </c>
    </row>
    <row r="72" spans="1:13" x14ac:dyDescent="0.3">
      <c r="A72" s="3">
        <v>71</v>
      </c>
      <c r="B72" s="1" t="s">
        <v>81</v>
      </c>
      <c r="C72" s="1" t="s">
        <v>88</v>
      </c>
      <c r="D72" s="1" t="s">
        <v>15</v>
      </c>
      <c r="E72" s="1" t="s">
        <v>16</v>
      </c>
      <c r="F72" s="1">
        <v>7</v>
      </c>
      <c r="G72" s="1">
        <v>1</v>
      </c>
      <c r="H72" s="1">
        <v>1</v>
      </c>
      <c r="I72" s="1">
        <v>1</v>
      </c>
      <c r="J72" s="1">
        <v>0</v>
      </c>
      <c r="K72" s="1">
        <v>1</v>
      </c>
      <c r="L72" s="1" t="s">
        <v>17</v>
      </c>
      <c r="M72" s="5">
        <v>2024</v>
      </c>
    </row>
    <row r="73" spans="1:13" x14ac:dyDescent="0.3">
      <c r="A73" s="3">
        <v>72</v>
      </c>
      <c r="B73" s="2" t="s">
        <v>81</v>
      </c>
      <c r="C73" s="2" t="s">
        <v>89</v>
      </c>
      <c r="D73" s="2" t="s">
        <v>15</v>
      </c>
      <c r="E73" s="2" t="s">
        <v>16</v>
      </c>
      <c r="F73" s="1">
        <v>7</v>
      </c>
      <c r="G73" s="2">
        <v>5</v>
      </c>
      <c r="H73" s="2">
        <v>5</v>
      </c>
      <c r="I73" s="2">
        <v>5</v>
      </c>
      <c r="J73" s="1">
        <v>1</v>
      </c>
      <c r="K73" s="1">
        <v>6</v>
      </c>
      <c r="L73" s="2" t="s">
        <v>17</v>
      </c>
      <c r="M73" s="6">
        <v>2024</v>
      </c>
    </row>
    <row r="74" spans="1:13" x14ac:dyDescent="0.3">
      <c r="A74" s="3">
        <v>73</v>
      </c>
      <c r="B74" s="1" t="s">
        <v>81</v>
      </c>
      <c r="C74" s="1" t="s">
        <v>90</v>
      </c>
      <c r="D74" s="1" t="s">
        <v>15</v>
      </c>
      <c r="E74" s="1" t="s">
        <v>16</v>
      </c>
      <c r="F74" s="1">
        <v>7</v>
      </c>
      <c r="G74" s="1">
        <v>0</v>
      </c>
      <c r="H74" s="1">
        <v>0</v>
      </c>
      <c r="I74" s="1">
        <v>0</v>
      </c>
      <c r="J74" s="1">
        <v>2</v>
      </c>
      <c r="K74" s="1">
        <v>2</v>
      </c>
      <c r="L74" s="1" t="s">
        <v>17</v>
      </c>
      <c r="M74" s="5">
        <v>2024</v>
      </c>
    </row>
    <row r="75" spans="1:13" x14ac:dyDescent="0.3">
      <c r="A75" s="3">
        <v>74</v>
      </c>
      <c r="B75" s="2" t="s">
        <v>81</v>
      </c>
      <c r="C75" s="2" t="s">
        <v>91</v>
      </c>
      <c r="D75" s="2" t="s">
        <v>15</v>
      </c>
      <c r="E75" s="2" t="s">
        <v>16</v>
      </c>
      <c r="F75" s="1">
        <v>7</v>
      </c>
      <c r="G75" s="2">
        <v>3</v>
      </c>
      <c r="H75" s="2">
        <v>3</v>
      </c>
      <c r="I75" s="2">
        <v>3</v>
      </c>
      <c r="J75" s="1">
        <v>0</v>
      </c>
      <c r="K75" s="1">
        <v>3</v>
      </c>
      <c r="L75" s="2" t="s">
        <v>17</v>
      </c>
      <c r="M75" s="6">
        <v>2024</v>
      </c>
    </row>
    <row r="76" spans="1:13" x14ac:dyDescent="0.3">
      <c r="A76" s="3">
        <v>75</v>
      </c>
      <c r="B76" s="1" t="s">
        <v>81</v>
      </c>
      <c r="C76" s="1" t="s">
        <v>92</v>
      </c>
      <c r="D76" s="1" t="s">
        <v>15</v>
      </c>
      <c r="E76" s="1" t="s">
        <v>16</v>
      </c>
      <c r="F76" s="1">
        <v>7</v>
      </c>
      <c r="G76" s="1">
        <v>0</v>
      </c>
      <c r="H76" s="1">
        <v>0</v>
      </c>
      <c r="I76" s="1">
        <v>0</v>
      </c>
      <c r="J76" s="1">
        <v>2</v>
      </c>
      <c r="K76" s="1">
        <v>2</v>
      </c>
      <c r="L76" s="1" t="s">
        <v>17</v>
      </c>
      <c r="M76" s="5">
        <v>2024</v>
      </c>
    </row>
    <row r="77" spans="1:13" x14ac:dyDescent="0.3">
      <c r="A77" s="3">
        <v>76</v>
      </c>
      <c r="B77" s="2" t="s">
        <v>81</v>
      </c>
      <c r="C77" s="2" t="s">
        <v>93</v>
      </c>
      <c r="D77" s="2" t="s">
        <v>15</v>
      </c>
      <c r="E77" s="2" t="s">
        <v>16</v>
      </c>
      <c r="F77" s="1">
        <v>7</v>
      </c>
      <c r="G77" s="2">
        <v>3</v>
      </c>
      <c r="H77" s="2">
        <v>3</v>
      </c>
      <c r="I77" s="2">
        <v>3</v>
      </c>
      <c r="J77" s="1">
        <v>0</v>
      </c>
      <c r="K77" s="1">
        <v>3</v>
      </c>
      <c r="L77" s="2" t="s">
        <v>17</v>
      </c>
      <c r="M77" s="6">
        <v>2024</v>
      </c>
    </row>
    <row r="78" spans="1:13" x14ac:dyDescent="0.3">
      <c r="A78" s="3">
        <v>77</v>
      </c>
      <c r="B78" s="1" t="s">
        <v>81</v>
      </c>
      <c r="C78" s="1" t="s">
        <v>94</v>
      </c>
      <c r="D78" s="1" t="s">
        <v>15</v>
      </c>
      <c r="E78" s="1" t="s">
        <v>16</v>
      </c>
      <c r="F78" s="1">
        <v>7</v>
      </c>
      <c r="G78" s="1">
        <v>4</v>
      </c>
      <c r="H78" s="1">
        <v>4</v>
      </c>
      <c r="I78" s="1">
        <v>4</v>
      </c>
      <c r="J78" s="1">
        <v>3</v>
      </c>
      <c r="K78" s="1">
        <v>7</v>
      </c>
      <c r="L78" s="1" t="s">
        <v>17</v>
      </c>
      <c r="M78" s="5">
        <v>2024</v>
      </c>
    </row>
    <row r="79" spans="1:13" x14ac:dyDescent="0.3">
      <c r="A79" s="3">
        <v>78</v>
      </c>
      <c r="B79" s="2" t="s">
        <v>81</v>
      </c>
      <c r="C79" s="2" t="s">
        <v>95</v>
      </c>
      <c r="D79" s="2" t="s">
        <v>15</v>
      </c>
      <c r="E79" s="2" t="s">
        <v>16</v>
      </c>
      <c r="F79" s="1">
        <v>7</v>
      </c>
      <c r="G79" s="2">
        <v>12</v>
      </c>
      <c r="H79" s="2">
        <v>12</v>
      </c>
      <c r="I79" s="2">
        <v>12</v>
      </c>
      <c r="J79" s="1">
        <v>0</v>
      </c>
      <c r="K79" s="1">
        <v>12</v>
      </c>
      <c r="L79" s="2" t="s">
        <v>17</v>
      </c>
      <c r="M79" s="6">
        <v>2024</v>
      </c>
    </row>
    <row r="80" spans="1:13" x14ac:dyDescent="0.3">
      <c r="A80" s="3">
        <v>79</v>
      </c>
      <c r="B80" s="1" t="s">
        <v>81</v>
      </c>
      <c r="C80" s="1" t="s">
        <v>96</v>
      </c>
      <c r="D80" s="1" t="s">
        <v>15</v>
      </c>
      <c r="E80" s="1" t="s">
        <v>16</v>
      </c>
      <c r="F80" s="1">
        <v>7</v>
      </c>
      <c r="G80" s="1">
        <v>4</v>
      </c>
      <c r="H80" s="1">
        <v>4</v>
      </c>
      <c r="I80" s="1">
        <v>4</v>
      </c>
      <c r="J80" s="1">
        <v>1</v>
      </c>
      <c r="K80" s="1">
        <v>5</v>
      </c>
      <c r="L80" s="1" t="s">
        <v>17</v>
      </c>
      <c r="M80" s="5">
        <v>2024</v>
      </c>
    </row>
    <row r="81" spans="1:13" x14ac:dyDescent="0.3">
      <c r="A81" s="3">
        <v>80</v>
      </c>
      <c r="B81" s="2" t="s">
        <v>81</v>
      </c>
      <c r="C81" s="2" t="s">
        <v>97</v>
      </c>
      <c r="D81" s="2" t="s">
        <v>15</v>
      </c>
      <c r="E81" s="2" t="s">
        <v>16</v>
      </c>
      <c r="F81" s="1">
        <v>7</v>
      </c>
      <c r="G81" s="2">
        <v>1</v>
      </c>
      <c r="H81" s="2">
        <v>1</v>
      </c>
      <c r="I81" s="2">
        <v>1</v>
      </c>
      <c r="J81" s="1">
        <v>0</v>
      </c>
      <c r="K81" s="1">
        <v>1</v>
      </c>
      <c r="L81" s="2" t="s">
        <v>17</v>
      </c>
      <c r="M81" s="6">
        <v>2024</v>
      </c>
    </row>
    <row r="82" spans="1:13" x14ac:dyDescent="0.3">
      <c r="A82" s="3">
        <v>81</v>
      </c>
      <c r="B82" s="1" t="s">
        <v>81</v>
      </c>
      <c r="C82" s="1" t="s">
        <v>98</v>
      </c>
      <c r="D82" s="1" t="s">
        <v>15</v>
      </c>
      <c r="E82" s="1" t="s">
        <v>16</v>
      </c>
      <c r="F82" s="1">
        <v>7</v>
      </c>
      <c r="G82" s="1">
        <v>5</v>
      </c>
      <c r="H82" s="1">
        <v>5</v>
      </c>
      <c r="I82" s="1">
        <v>5</v>
      </c>
      <c r="J82" s="1">
        <v>0</v>
      </c>
      <c r="K82" s="1">
        <v>5</v>
      </c>
      <c r="L82" s="1" t="s">
        <v>17</v>
      </c>
      <c r="M82" s="5">
        <v>2024</v>
      </c>
    </row>
    <row r="83" spans="1:13" x14ac:dyDescent="0.3">
      <c r="A83" s="3">
        <v>82</v>
      </c>
      <c r="B83" s="2" t="s">
        <v>81</v>
      </c>
      <c r="C83" s="2" t="s">
        <v>99</v>
      </c>
      <c r="D83" s="2" t="s">
        <v>15</v>
      </c>
      <c r="E83" s="2" t="s">
        <v>16</v>
      </c>
      <c r="F83" s="1">
        <v>7</v>
      </c>
      <c r="G83" s="2">
        <v>17</v>
      </c>
      <c r="H83" s="2">
        <v>17</v>
      </c>
      <c r="I83" s="2">
        <v>17</v>
      </c>
      <c r="J83" s="1">
        <v>1</v>
      </c>
      <c r="K83" s="1">
        <v>18</v>
      </c>
      <c r="L83" s="2" t="s">
        <v>17</v>
      </c>
      <c r="M83" s="6">
        <v>2024</v>
      </c>
    </row>
    <row r="84" spans="1:13" x14ac:dyDescent="0.3">
      <c r="A84" s="3">
        <v>83</v>
      </c>
      <c r="B84" s="1" t="s">
        <v>81</v>
      </c>
      <c r="C84" s="1" t="s">
        <v>100</v>
      </c>
      <c r="D84" s="1" t="s">
        <v>15</v>
      </c>
      <c r="E84" s="1" t="s">
        <v>16</v>
      </c>
      <c r="F84" s="1">
        <v>7</v>
      </c>
      <c r="G84" s="1">
        <v>4</v>
      </c>
      <c r="H84" s="1">
        <v>4</v>
      </c>
      <c r="I84" s="1">
        <v>0</v>
      </c>
      <c r="J84" s="1">
        <v>0</v>
      </c>
      <c r="K84" s="1">
        <v>0</v>
      </c>
      <c r="L84" s="1" t="s">
        <v>17</v>
      </c>
      <c r="M84" s="5">
        <v>2024</v>
      </c>
    </row>
    <row r="85" spans="1:13" x14ac:dyDescent="0.3">
      <c r="A85" s="3">
        <v>84</v>
      </c>
      <c r="B85" s="2" t="s">
        <v>81</v>
      </c>
      <c r="C85" s="2" t="s">
        <v>101</v>
      </c>
      <c r="D85" s="2" t="s">
        <v>15</v>
      </c>
      <c r="E85" s="2" t="s">
        <v>16</v>
      </c>
      <c r="F85" s="1">
        <v>7</v>
      </c>
      <c r="G85" s="2">
        <v>4</v>
      </c>
      <c r="H85" s="2">
        <v>4</v>
      </c>
      <c r="I85" s="2">
        <v>3</v>
      </c>
      <c r="J85" s="1">
        <v>0</v>
      </c>
      <c r="K85" s="1">
        <v>3</v>
      </c>
      <c r="L85" s="2" t="s">
        <v>17</v>
      </c>
      <c r="M85" s="6">
        <v>2024</v>
      </c>
    </row>
    <row r="86" spans="1:13" x14ac:dyDescent="0.3">
      <c r="A86" s="3">
        <v>85</v>
      </c>
      <c r="B86" s="1" t="s">
        <v>81</v>
      </c>
      <c r="C86" s="1" t="s">
        <v>102</v>
      </c>
      <c r="D86" s="1" t="s">
        <v>15</v>
      </c>
      <c r="E86" s="1" t="s">
        <v>16</v>
      </c>
      <c r="F86" s="1">
        <v>7</v>
      </c>
      <c r="G86" s="1">
        <v>0</v>
      </c>
      <c r="H86" s="1">
        <v>0</v>
      </c>
      <c r="I86" s="1">
        <v>0</v>
      </c>
      <c r="J86" s="1">
        <v>2</v>
      </c>
      <c r="K86" s="1">
        <v>2</v>
      </c>
      <c r="L86" s="1" t="s">
        <v>17</v>
      </c>
      <c r="M86" s="5">
        <v>2024</v>
      </c>
    </row>
    <row r="87" spans="1:13" x14ac:dyDescent="0.3">
      <c r="A87" s="3">
        <v>86</v>
      </c>
      <c r="B87" s="2" t="s">
        <v>81</v>
      </c>
      <c r="C87" s="2" t="s">
        <v>103</v>
      </c>
      <c r="D87" s="2" t="s">
        <v>15</v>
      </c>
      <c r="E87" s="2" t="s">
        <v>16</v>
      </c>
      <c r="F87" s="1">
        <v>7</v>
      </c>
      <c r="G87" s="2">
        <v>6</v>
      </c>
      <c r="H87" s="2">
        <v>6</v>
      </c>
      <c r="I87" s="2">
        <v>6</v>
      </c>
      <c r="J87" s="1">
        <v>0</v>
      </c>
      <c r="K87" s="1">
        <v>6</v>
      </c>
      <c r="L87" s="2" t="s">
        <v>17</v>
      </c>
      <c r="M87" s="6">
        <v>2024</v>
      </c>
    </row>
    <row r="88" spans="1:13" x14ac:dyDescent="0.3">
      <c r="A88" s="3">
        <v>87</v>
      </c>
      <c r="B88" s="1" t="s">
        <v>81</v>
      </c>
      <c r="C88" s="1" t="s">
        <v>104</v>
      </c>
      <c r="D88" s="1" t="s">
        <v>15</v>
      </c>
      <c r="E88" s="1" t="s">
        <v>16</v>
      </c>
      <c r="F88" s="1">
        <v>7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 t="s">
        <v>17</v>
      </c>
      <c r="M88" s="5">
        <v>2024</v>
      </c>
    </row>
    <row r="89" spans="1:13" x14ac:dyDescent="0.3">
      <c r="A89" s="3">
        <v>88</v>
      </c>
      <c r="B89" s="2" t="s">
        <v>81</v>
      </c>
      <c r="C89" s="2" t="s">
        <v>105</v>
      </c>
      <c r="D89" s="2" t="s">
        <v>15</v>
      </c>
      <c r="E89" s="2" t="s">
        <v>16</v>
      </c>
      <c r="F89" s="1">
        <v>7</v>
      </c>
      <c r="G89" s="2">
        <v>4</v>
      </c>
      <c r="H89" s="2">
        <v>3</v>
      </c>
      <c r="I89" s="2">
        <v>3</v>
      </c>
      <c r="J89" s="1">
        <v>0</v>
      </c>
      <c r="K89" s="1">
        <v>3</v>
      </c>
      <c r="L89" s="2" t="s">
        <v>17</v>
      </c>
      <c r="M89" s="6">
        <v>2024</v>
      </c>
    </row>
    <row r="90" spans="1:13" x14ac:dyDescent="0.3">
      <c r="A90" s="3">
        <v>89</v>
      </c>
      <c r="B90" s="1" t="s">
        <v>81</v>
      </c>
      <c r="C90" s="1" t="s">
        <v>106</v>
      </c>
      <c r="D90" s="1" t="s">
        <v>15</v>
      </c>
      <c r="E90" s="1" t="s">
        <v>16</v>
      </c>
      <c r="F90" s="1">
        <v>7</v>
      </c>
      <c r="G90" s="1">
        <v>7</v>
      </c>
      <c r="H90" s="1">
        <v>7</v>
      </c>
      <c r="I90" s="1">
        <v>6</v>
      </c>
      <c r="J90" s="1">
        <v>0</v>
      </c>
      <c r="K90" s="1">
        <v>6</v>
      </c>
      <c r="L90" s="1" t="s">
        <v>17</v>
      </c>
      <c r="M90" s="5">
        <v>2024</v>
      </c>
    </row>
    <row r="91" spans="1:13" x14ac:dyDescent="0.3">
      <c r="A91" s="3">
        <v>90</v>
      </c>
      <c r="B91" s="2" t="s">
        <v>81</v>
      </c>
      <c r="C91" s="2" t="s">
        <v>107</v>
      </c>
      <c r="D91" s="2" t="s">
        <v>15</v>
      </c>
      <c r="E91" s="2" t="s">
        <v>16</v>
      </c>
      <c r="F91" s="1">
        <v>7</v>
      </c>
      <c r="G91" s="2">
        <v>12</v>
      </c>
      <c r="H91" s="2">
        <v>12</v>
      </c>
      <c r="I91" s="2">
        <v>12</v>
      </c>
      <c r="J91" s="1">
        <v>0</v>
      </c>
      <c r="K91" s="1">
        <v>12</v>
      </c>
      <c r="L91" s="2" t="s">
        <v>17</v>
      </c>
      <c r="M91" s="6">
        <v>2024</v>
      </c>
    </row>
    <row r="92" spans="1:13" x14ac:dyDescent="0.3">
      <c r="A92" s="3">
        <v>91</v>
      </c>
      <c r="B92" s="1" t="s">
        <v>81</v>
      </c>
      <c r="C92" s="1" t="s">
        <v>108</v>
      </c>
      <c r="D92" s="1" t="s">
        <v>15</v>
      </c>
      <c r="E92" s="1" t="s">
        <v>16</v>
      </c>
      <c r="F92" s="1">
        <v>7</v>
      </c>
      <c r="G92" s="1">
        <v>3</v>
      </c>
      <c r="H92" s="1">
        <v>3</v>
      </c>
      <c r="I92" s="1">
        <v>3</v>
      </c>
      <c r="J92" s="1">
        <v>1</v>
      </c>
      <c r="K92" s="1">
        <v>4</v>
      </c>
      <c r="L92" s="1" t="s">
        <v>17</v>
      </c>
      <c r="M92" s="5">
        <v>2024</v>
      </c>
    </row>
    <row r="93" spans="1:13" x14ac:dyDescent="0.3">
      <c r="A93" s="3">
        <v>92</v>
      </c>
      <c r="B93" s="2" t="s">
        <v>81</v>
      </c>
      <c r="C93" s="2" t="s">
        <v>109</v>
      </c>
      <c r="D93" s="2" t="s">
        <v>15</v>
      </c>
      <c r="E93" s="2" t="s">
        <v>16</v>
      </c>
      <c r="F93" s="1">
        <v>7</v>
      </c>
      <c r="G93" s="2">
        <v>0</v>
      </c>
      <c r="H93" s="2">
        <v>0</v>
      </c>
      <c r="I93" s="2">
        <v>0</v>
      </c>
      <c r="J93" s="1">
        <v>0</v>
      </c>
      <c r="K93" s="1">
        <v>0</v>
      </c>
      <c r="L93" s="2" t="s">
        <v>17</v>
      </c>
      <c r="M93" s="6">
        <v>2024</v>
      </c>
    </row>
    <row r="94" spans="1:13" x14ac:dyDescent="0.3">
      <c r="A94" s="3">
        <v>93</v>
      </c>
      <c r="B94" s="1" t="s">
        <v>81</v>
      </c>
      <c r="C94" s="1" t="s">
        <v>110</v>
      </c>
      <c r="D94" s="1" t="s">
        <v>15</v>
      </c>
      <c r="E94" s="1" t="s">
        <v>16</v>
      </c>
      <c r="F94" s="1">
        <v>7</v>
      </c>
      <c r="G94" s="1">
        <v>7</v>
      </c>
      <c r="H94" s="1">
        <v>7</v>
      </c>
      <c r="I94" s="1">
        <v>7</v>
      </c>
      <c r="J94" s="1">
        <v>0</v>
      </c>
      <c r="K94" s="1">
        <v>7</v>
      </c>
      <c r="L94" s="1" t="s">
        <v>17</v>
      </c>
      <c r="M94" s="5">
        <v>2024</v>
      </c>
    </row>
    <row r="95" spans="1:13" x14ac:dyDescent="0.3">
      <c r="A95" s="3">
        <v>94</v>
      </c>
      <c r="B95" s="2" t="s">
        <v>81</v>
      </c>
      <c r="C95" s="2" t="s">
        <v>111</v>
      </c>
      <c r="D95" s="2" t="s">
        <v>15</v>
      </c>
      <c r="E95" s="2" t="s">
        <v>16</v>
      </c>
      <c r="F95" s="1">
        <v>7</v>
      </c>
      <c r="G95" s="2">
        <v>1</v>
      </c>
      <c r="H95" s="2">
        <v>0</v>
      </c>
      <c r="I95" s="2">
        <v>0</v>
      </c>
      <c r="J95" s="1">
        <v>0</v>
      </c>
      <c r="K95" s="1">
        <v>0</v>
      </c>
      <c r="L95" s="2" t="s">
        <v>17</v>
      </c>
      <c r="M95" s="6">
        <v>2024</v>
      </c>
    </row>
    <row r="96" spans="1:13" x14ac:dyDescent="0.3">
      <c r="A96" s="3">
        <v>95</v>
      </c>
      <c r="B96" s="1" t="s">
        <v>81</v>
      </c>
      <c r="C96" s="1" t="s">
        <v>112</v>
      </c>
      <c r="D96" s="1" t="s">
        <v>15</v>
      </c>
      <c r="E96" s="1" t="s">
        <v>16</v>
      </c>
      <c r="F96" s="1">
        <v>7</v>
      </c>
      <c r="G96" s="1">
        <v>4</v>
      </c>
      <c r="H96" s="1">
        <v>4</v>
      </c>
      <c r="I96" s="1">
        <v>4</v>
      </c>
      <c r="J96" s="1">
        <v>5</v>
      </c>
      <c r="K96" s="1">
        <v>9</v>
      </c>
      <c r="L96" s="1" t="s">
        <v>17</v>
      </c>
      <c r="M96" s="5">
        <v>2024</v>
      </c>
    </row>
    <row r="97" spans="1:13" x14ac:dyDescent="0.3">
      <c r="A97" s="3">
        <v>96</v>
      </c>
      <c r="B97" s="2" t="s">
        <v>81</v>
      </c>
      <c r="C97" s="2" t="s">
        <v>113</v>
      </c>
      <c r="D97" s="2" t="s">
        <v>15</v>
      </c>
      <c r="E97" s="2" t="s">
        <v>16</v>
      </c>
      <c r="F97" s="1">
        <v>7</v>
      </c>
      <c r="G97" s="2">
        <v>2</v>
      </c>
      <c r="H97" s="2">
        <v>2</v>
      </c>
      <c r="I97" s="2">
        <v>2</v>
      </c>
      <c r="J97" s="1">
        <v>0</v>
      </c>
      <c r="K97" s="1">
        <v>2</v>
      </c>
      <c r="L97" s="2" t="s">
        <v>17</v>
      </c>
      <c r="M97" s="6">
        <v>2024</v>
      </c>
    </row>
    <row r="98" spans="1:13" x14ac:dyDescent="0.3">
      <c r="A98" s="3">
        <v>97</v>
      </c>
      <c r="B98" s="1" t="s">
        <v>81</v>
      </c>
      <c r="C98" s="1" t="s">
        <v>114</v>
      </c>
      <c r="D98" s="1" t="s">
        <v>15</v>
      </c>
      <c r="E98" s="1" t="s">
        <v>16</v>
      </c>
      <c r="F98" s="1">
        <v>7</v>
      </c>
      <c r="G98" s="1">
        <v>1</v>
      </c>
      <c r="H98" s="1">
        <v>1</v>
      </c>
      <c r="I98" s="1">
        <v>0</v>
      </c>
      <c r="J98" s="1">
        <v>5</v>
      </c>
      <c r="K98" s="1">
        <v>5</v>
      </c>
      <c r="L98" s="1" t="s">
        <v>17</v>
      </c>
      <c r="M98" s="5">
        <v>2024</v>
      </c>
    </row>
    <row r="99" spans="1:13" x14ac:dyDescent="0.3">
      <c r="A99" s="3">
        <v>98</v>
      </c>
      <c r="B99" s="2" t="s">
        <v>81</v>
      </c>
      <c r="C99" s="2" t="s">
        <v>115</v>
      </c>
      <c r="D99" s="2" t="s">
        <v>15</v>
      </c>
      <c r="E99" s="2" t="s">
        <v>16</v>
      </c>
      <c r="F99" s="1">
        <v>7</v>
      </c>
      <c r="G99" s="2">
        <v>9</v>
      </c>
      <c r="H99" s="2">
        <v>9</v>
      </c>
      <c r="I99" s="2">
        <v>9</v>
      </c>
      <c r="J99" s="1">
        <v>0</v>
      </c>
      <c r="K99" s="1">
        <v>9</v>
      </c>
      <c r="L99" s="2" t="s">
        <v>17</v>
      </c>
      <c r="M99" s="6">
        <v>2024</v>
      </c>
    </row>
    <row r="100" spans="1:13" x14ac:dyDescent="0.3">
      <c r="A100" s="3">
        <v>99</v>
      </c>
      <c r="B100" s="1" t="s">
        <v>81</v>
      </c>
      <c r="C100" s="1" t="s">
        <v>116</v>
      </c>
      <c r="D100" s="1" t="s">
        <v>15</v>
      </c>
      <c r="E100" s="1" t="s">
        <v>16</v>
      </c>
      <c r="F100" s="1">
        <v>7</v>
      </c>
      <c r="G100" s="1">
        <v>7</v>
      </c>
      <c r="H100" s="1">
        <v>6</v>
      </c>
      <c r="I100" s="1">
        <v>6</v>
      </c>
      <c r="J100" s="1">
        <v>0</v>
      </c>
      <c r="K100" s="1">
        <v>6</v>
      </c>
      <c r="L100" s="1" t="s">
        <v>17</v>
      </c>
      <c r="M100" s="5">
        <v>2024</v>
      </c>
    </row>
    <row r="101" spans="1:13" x14ac:dyDescent="0.3">
      <c r="A101" s="3">
        <v>100</v>
      </c>
      <c r="B101" s="2" t="s">
        <v>81</v>
      </c>
      <c r="C101" s="2" t="s">
        <v>117</v>
      </c>
      <c r="D101" s="2" t="s">
        <v>15</v>
      </c>
      <c r="E101" s="2" t="s">
        <v>16</v>
      </c>
      <c r="F101" s="1">
        <v>7</v>
      </c>
      <c r="G101" s="2">
        <v>0</v>
      </c>
      <c r="H101" s="2">
        <v>0</v>
      </c>
      <c r="I101" s="2">
        <v>0</v>
      </c>
      <c r="J101" s="1">
        <v>2</v>
      </c>
      <c r="K101" s="1">
        <v>2</v>
      </c>
      <c r="L101" s="2" t="s">
        <v>17</v>
      </c>
      <c r="M101" s="6">
        <v>2024</v>
      </c>
    </row>
    <row r="102" spans="1:13" x14ac:dyDescent="0.3">
      <c r="A102" s="3">
        <v>101</v>
      </c>
      <c r="B102" s="1" t="s">
        <v>81</v>
      </c>
      <c r="C102" s="1" t="s">
        <v>118</v>
      </c>
      <c r="D102" s="1" t="s">
        <v>15</v>
      </c>
      <c r="E102" s="1" t="s">
        <v>16</v>
      </c>
      <c r="F102" s="1">
        <v>7</v>
      </c>
      <c r="G102" s="1">
        <v>8</v>
      </c>
      <c r="H102" s="1">
        <v>8</v>
      </c>
      <c r="I102" s="1">
        <v>7</v>
      </c>
      <c r="J102" s="1">
        <v>1</v>
      </c>
      <c r="K102" s="1">
        <v>8</v>
      </c>
      <c r="L102" s="1" t="s">
        <v>17</v>
      </c>
      <c r="M102" s="5">
        <v>2024</v>
      </c>
    </row>
    <row r="103" spans="1:13" x14ac:dyDescent="0.3">
      <c r="A103" s="3">
        <v>102</v>
      </c>
      <c r="B103" s="2" t="s">
        <v>81</v>
      </c>
      <c r="C103" s="2" t="s">
        <v>119</v>
      </c>
      <c r="D103" s="2" t="s">
        <v>15</v>
      </c>
      <c r="E103" s="2" t="s">
        <v>16</v>
      </c>
      <c r="F103" s="1">
        <v>7</v>
      </c>
      <c r="G103" s="2">
        <v>0</v>
      </c>
      <c r="H103" s="2">
        <v>0</v>
      </c>
      <c r="I103" s="2">
        <v>0</v>
      </c>
      <c r="J103" s="1">
        <v>0</v>
      </c>
      <c r="K103" s="1">
        <v>0</v>
      </c>
      <c r="L103" s="2" t="s">
        <v>17</v>
      </c>
      <c r="M103" s="6">
        <v>2024</v>
      </c>
    </row>
    <row r="104" spans="1:13" x14ac:dyDescent="0.3">
      <c r="A104" s="3">
        <v>103</v>
      </c>
      <c r="B104" s="1" t="s">
        <v>81</v>
      </c>
      <c r="C104" s="1" t="s">
        <v>120</v>
      </c>
      <c r="D104" s="1" t="s">
        <v>15</v>
      </c>
      <c r="E104" s="1" t="s">
        <v>16</v>
      </c>
      <c r="F104" s="1">
        <v>7</v>
      </c>
      <c r="G104" s="1">
        <v>7</v>
      </c>
      <c r="H104" s="1">
        <v>7</v>
      </c>
      <c r="I104" s="1">
        <v>7</v>
      </c>
      <c r="J104" s="1">
        <v>0</v>
      </c>
      <c r="K104" s="1">
        <v>7</v>
      </c>
      <c r="L104" s="1" t="s">
        <v>17</v>
      </c>
      <c r="M104" s="5">
        <v>2024</v>
      </c>
    </row>
    <row r="105" spans="1:13" x14ac:dyDescent="0.3">
      <c r="A105" s="3">
        <v>104</v>
      </c>
      <c r="B105" s="2" t="s">
        <v>81</v>
      </c>
      <c r="C105" s="2" t="s">
        <v>121</v>
      </c>
      <c r="D105" s="2" t="s">
        <v>15</v>
      </c>
      <c r="E105" s="2" t="s">
        <v>16</v>
      </c>
      <c r="F105" s="1">
        <v>7</v>
      </c>
      <c r="G105" s="2">
        <v>1</v>
      </c>
      <c r="H105" s="2">
        <v>1</v>
      </c>
      <c r="I105" s="2">
        <v>0</v>
      </c>
      <c r="J105" s="1">
        <v>0</v>
      </c>
      <c r="K105" s="1">
        <v>0</v>
      </c>
      <c r="L105" s="2" t="s">
        <v>17</v>
      </c>
      <c r="M105" s="6">
        <v>2024</v>
      </c>
    </row>
    <row r="106" spans="1:13" x14ac:dyDescent="0.3">
      <c r="A106" s="3">
        <v>105</v>
      </c>
      <c r="B106" s="1" t="s">
        <v>81</v>
      </c>
      <c r="C106" s="1" t="s">
        <v>122</v>
      </c>
      <c r="D106" s="1" t="s">
        <v>15</v>
      </c>
      <c r="E106" s="1" t="s">
        <v>16</v>
      </c>
      <c r="F106" s="1">
        <v>7</v>
      </c>
      <c r="G106" s="1">
        <v>5</v>
      </c>
      <c r="H106" s="1">
        <v>5</v>
      </c>
      <c r="I106" s="1">
        <v>5</v>
      </c>
      <c r="J106" s="1">
        <v>0</v>
      </c>
      <c r="K106" s="1">
        <v>5</v>
      </c>
      <c r="L106" s="1" t="s">
        <v>17</v>
      </c>
      <c r="M106" s="5">
        <v>2024</v>
      </c>
    </row>
    <row r="107" spans="1:13" x14ac:dyDescent="0.3">
      <c r="A107" s="3">
        <v>106</v>
      </c>
      <c r="B107" s="2" t="s">
        <v>81</v>
      </c>
      <c r="C107" s="2" t="s">
        <v>123</v>
      </c>
      <c r="D107" s="2" t="s">
        <v>15</v>
      </c>
      <c r="E107" s="2" t="s">
        <v>16</v>
      </c>
      <c r="F107" s="1">
        <v>7</v>
      </c>
      <c r="G107" s="2">
        <v>9</v>
      </c>
      <c r="H107" s="2">
        <v>8</v>
      </c>
      <c r="I107" s="2">
        <v>2</v>
      </c>
      <c r="J107" s="1">
        <v>0</v>
      </c>
      <c r="K107" s="1">
        <v>2</v>
      </c>
      <c r="L107" s="2" t="s">
        <v>17</v>
      </c>
      <c r="M107" s="6">
        <v>2024</v>
      </c>
    </row>
    <row r="108" spans="1:13" x14ac:dyDescent="0.3">
      <c r="A108" s="3">
        <v>107</v>
      </c>
      <c r="B108" s="1" t="s">
        <v>81</v>
      </c>
      <c r="C108" s="1" t="s">
        <v>124</v>
      </c>
      <c r="D108" s="1" t="s">
        <v>15</v>
      </c>
      <c r="E108" s="1" t="s">
        <v>16</v>
      </c>
      <c r="F108" s="1">
        <v>7</v>
      </c>
      <c r="G108" s="1">
        <v>1</v>
      </c>
      <c r="H108" s="1">
        <v>1</v>
      </c>
      <c r="I108" s="1">
        <v>1</v>
      </c>
      <c r="J108" s="1">
        <v>0</v>
      </c>
      <c r="K108" s="1">
        <v>1</v>
      </c>
      <c r="L108" s="1" t="s">
        <v>17</v>
      </c>
      <c r="M108" s="5">
        <v>2024</v>
      </c>
    </row>
    <row r="109" spans="1:13" x14ac:dyDescent="0.3">
      <c r="A109" s="3">
        <v>108</v>
      </c>
      <c r="B109" s="2" t="s">
        <v>81</v>
      </c>
      <c r="C109" s="2" t="s">
        <v>125</v>
      </c>
      <c r="D109" s="2" t="s">
        <v>15</v>
      </c>
      <c r="E109" s="2" t="s">
        <v>16</v>
      </c>
      <c r="F109" s="1">
        <v>7</v>
      </c>
      <c r="G109" s="2">
        <v>2</v>
      </c>
      <c r="H109" s="2">
        <v>2</v>
      </c>
      <c r="I109" s="2">
        <v>2</v>
      </c>
      <c r="J109" s="1">
        <v>0</v>
      </c>
      <c r="K109" s="1">
        <v>2</v>
      </c>
      <c r="L109" s="2" t="s">
        <v>17</v>
      </c>
      <c r="M109" s="6">
        <v>2024</v>
      </c>
    </row>
    <row r="110" spans="1:13" x14ac:dyDescent="0.3">
      <c r="A110" s="3">
        <v>109</v>
      </c>
      <c r="B110" s="1" t="s">
        <v>81</v>
      </c>
      <c r="C110" s="1" t="s">
        <v>126</v>
      </c>
      <c r="D110" s="1" t="s">
        <v>15</v>
      </c>
      <c r="E110" s="1" t="s">
        <v>16</v>
      </c>
      <c r="F110" s="1">
        <v>7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 t="s">
        <v>17</v>
      </c>
      <c r="M110" s="5">
        <v>2024</v>
      </c>
    </row>
    <row r="111" spans="1:13" x14ac:dyDescent="0.3">
      <c r="A111" s="3">
        <v>110</v>
      </c>
      <c r="B111" s="2" t="s">
        <v>81</v>
      </c>
      <c r="C111" s="2" t="s">
        <v>127</v>
      </c>
      <c r="D111" s="2" t="s">
        <v>15</v>
      </c>
      <c r="E111" s="2" t="s">
        <v>16</v>
      </c>
      <c r="F111" s="1">
        <v>7</v>
      </c>
      <c r="G111" s="2">
        <v>2</v>
      </c>
      <c r="H111" s="2">
        <v>2</v>
      </c>
      <c r="I111" s="2">
        <v>2</v>
      </c>
      <c r="J111" s="1">
        <v>0</v>
      </c>
      <c r="K111" s="1">
        <v>2</v>
      </c>
      <c r="L111" s="2" t="s">
        <v>17</v>
      </c>
      <c r="M111" s="6">
        <v>2024</v>
      </c>
    </row>
    <row r="112" spans="1:13" x14ac:dyDescent="0.3">
      <c r="A112" s="3">
        <v>111</v>
      </c>
      <c r="B112" s="1" t="s">
        <v>81</v>
      </c>
      <c r="C112" s="1" t="s">
        <v>128</v>
      </c>
      <c r="D112" s="1" t="s">
        <v>15</v>
      </c>
      <c r="E112" s="1" t="s">
        <v>16</v>
      </c>
      <c r="F112" s="1">
        <v>7</v>
      </c>
      <c r="G112" s="1">
        <v>3</v>
      </c>
      <c r="H112" s="1">
        <v>2</v>
      </c>
      <c r="I112" s="1">
        <v>2</v>
      </c>
      <c r="J112" s="1">
        <v>0</v>
      </c>
      <c r="K112" s="1">
        <v>2</v>
      </c>
      <c r="L112" s="1" t="s">
        <v>17</v>
      </c>
      <c r="M112" s="5">
        <v>2024</v>
      </c>
    </row>
    <row r="113" spans="1:13" x14ac:dyDescent="0.3">
      <c r="A113" s="3">
        <v>112</v>
      </c>
      <c r="B113" s="2" t="s">
        <v>81</v>
      </c>
      <c r="C113" s="2" t="s">
        <v>129</v>
      </c>
      <c r="D113" s="2" t="s">
        <v>15</v>
      </c>
      <c r="E113" s="2" t="s">
        <v>16</v>
      </c>
      <c r="F113" s="1">
        <v>7</v>
      </c>
      <c r="G113" s="2">
        <v>1</v>
      </c>
      <c r="H113" s="2">
        <v>1</v>
      </c>
      <c r="I113" s="2">
        <v>0</v>
      </c>
      <c r="J113" s="1">
        <v>0</v>
      </c>
      <c r="K113" s="1">
        <v>0</v>
      </c>
      <c r="L113" s="2" t="s">
        <v>17</v>
      </c>
      <c r="M113" s="6">
        <v>2024</v>
      </c>
    </row>
    <row r="114" spans="1:13" x14ac:dyDescent="0.3">
      <c r="A114" s="3">
        <v>113</v>
      </c>
      <c r="B114" s="1" t="s">
        <v>81</v>
      </c>
      <c r="C114" s="1" t="s">
        <v>130</v>
      </c>
      <c r="D114" s="1" t="s">
        <v>15</v>
      </c>
      <c r="E114" s="1" t="s">
        <v>16</v>
      </c>
      <c r="F114" s="1">
        <v>7</v>
      </c>
      <c r="G114" s="1">
        <v>0</v>
      </c>
      <c r="H114" s="1">
        <v>0</v>
      </c>
      <c r="I114" s="1">
        <v>0</v>
      </c>
      <c r="J114" s="1">
        <v>8</v>
      </c>
      <c r="K114" s="1">
        <v>8</v>
      </c>
      <c r="L114" s="1" t="s">
        <v>17</v>
      </c>
      <c r="M114" s="5">
        <v>2024</v>
      </c>
    </row>
    <row r="115" spans="1:13" x14ac:dyDescent="0.3">
      <c r="A115" s="3">
        <v>114</v>
      </c>
      <c r="B115" s="2" t="s">
        <v>81</v>
      </c>
      <c r="C115" s="2" t="s">
        <v>131</v>
      </c>
      <c r="D115" s="2" t="s">
        <v>15</v>
      </c>
      <c r="E115" s="2" t="s">
        <v>16</v>
      </c>
      <c r="F115" s="1">
        <v>7</v>
      </c>
      <c r="G115" s="2">
        <v>7</v>
      </c>
      <c r="H115" s="2">
        <v>7</v>
      </c>
      <c r="I115" s="2">
        <v>7</v>
      </c>
      <c r="J115" s="1">
        <v>0</v>
      </c>
      <c r="K115" s="1">
        <v>7</v>
      </c>
      <c r="L115" s="2" t="s">
        <v>17</v>
      </c>
      <c r="M115" s="6">
        <v>2024</v>
      </c>
    </row>
    <row r="116" spans="1:13" x14ac:dyDescent="0.3">
      <c r="A116" s="3">
        <v>115</v>
      </c>
      <c r="B116" s="1" t="s">
        <v>81</v>
      </c>
      <c r="C116" s="1" t="s">
        <v>132</v>
      </c>
      <c r="D116" s="1" t="s">
        <v>15</v>
      </c>
      <c r="E116" s="1" t="s">
        <v>16</v>
      </c>
      <c r="F116" s="1">
        <v>7</v>
      </c>
      <c r="G116" s="1">
        <v>4</v>
      </c>
      <c r="H116" s="1">
        <v>3</v>
      </c>
      <c r="I116" s="1">
        <v>3</v>
      </c>
      <c r="J116" s="1">
        <v>0</v>
      </c>
      <c r="K116" s="1">
        <v>3</v>
      </c>
      <c r="L116" s="1" t="s">
        <v>17</v>
      </c>
      <c r="M116" s="5">
        <v>2024</v>
      </c>
    </row>
    <row r="117" spans="1:13" x14ac:dyDescent="0.3">
      <c r="A117" s="3">
        <v>116</v>
      </c>
      <c r="B117" s="2" t="s">
        <v>81</v>
      </c>
      <c r="C117" s="2" t="s">
        <v>133</v>
      </c>
      <c r="D117" s="2" t="s">
        <v>15</v>
      </c>
      <c r="E117" s="2" t="s">
        <v>16</v>
      </c>
      <c r="F117" s="1">
        <v>7</v>
      </c>
      <c r="G117" s="2">
        <v>4</v>
      </c>
      <c r="H117" s="2">
        <v>4</v>
      </c>
      <c r="I117" s="2">
        <v>4</v>
      </c>
      <c r="J117" s="1">
        <v>0</v>
      </c>
      <c r="K117" s="1">
        <v>4</v>
      </c>
      <c r="L117" s="2" t="s">
        <v>17</v>
      </c>
      <c r="M117" s="6">
        <v>2024</v>
      </c>
    </row>
    <row r="118" spans="1:13" x14ac:dyDescent="0.3">
      <c r="A118" s="3">
        <v>117</v>
      </c>
      <c r="B118" s="1" t="s">
        <v>81</v>
      </c>
      <c r="C118" s="1" t="s">
        <v>134</v>
      </c>
      <c r="D118" s="1" t="s">
        <v>15</v>
      </c>
      <c r="E118" s="1" t="s">
        <v>16</v>
      </c>
      <c r="F118" s="1">
        <v>7</v>
      </c>
      <c r="G118" s="1">
        <v>1</v>
      </c>
      <c r="H118" s="1">
        <v>1</v>
      </c>
      <c r="I118" s="1">
        <v>0</v>
      </c>
      <c r="J118" s="1">
        <v>5</v>
      </c>
      <c r="K118" s="1">
        <v>5</v>
      </c>
      <c r="L118" s="1" t="s">
        <v>17</v>
      </c>
      <c r="M118" s="5">
        <v>2024</v>
      </c>
    </row>
    <row r="119" spans="1:13" x14ac:dyDescent="0.3">
      <c r="A119" s="3">
        <v>118</v>
      </c>
      <c r="B119" s="2" t="s">
        <v>81</v>
      </c>
      <c r="C119" s="2" t="s">
        <v>135</v>
      </c>
      <c r="D119" s="2" t="s">
        <v>15</v>
      </c>
      <c r="E119" s="2" t="s">
        <v>16</v>
      </c>
      <c r="F119" s="1">
        <v>7</v>
      </c>
      <c r="G119" s="2">
        <v>2</v>
      </c>
      <c r="H119" s="2">
        <v>0</v>
      </c>
      <c r="I119" s="2">
        <v>0</v>
      </c>
      <c r="J119" s="1">
        <v>0</v>
      </c>
      <c r="K119" s="1">
        <v>0</v>
      </c>
      <c r="L119" s="2" t="s">
        <v>17</v>
      </c>
      <c r="M119" s="6">
        <v>2024</v>
      </c>
    </row>
    <row r="120" spans="1:13" x14ac:dyDescent="0.3">
      <c r="A120" s="3">
        <v>119</v>
      </c>
      <c r="B120" s="1" t="s">
        <v>81</v>
      </c>
      <c r="C120" s="1" t="s">
        <v>136</v>
      </c>
      <c r="D120" s="1" t="s">
        <v>15</v>
      </c>
      <c r="E120" s="1" t="s">
        <v>16</v>
      </c>
      <c r="F120" s="1">
        <v>7</v>
      </c>
      <c r="G120" s="1">
        <v>0</v>
      </c>
      <c r="H120" s="1">
        <v>0</v>
      </c>
      <c r="I120" s="1">
        <v>0</v>
      </c>
      <c r="J120" s="1">
        <v>2</v>
      </c>
      <c r="K120" s="1">
        <v>2</v>
      </c>
      <c r="L120" s="1" t="s">
        <v>17</v>
      </c>
      <c r="M120" s="5">
        <v>2024</v>
      </c>
    </row>
    <row r="121" spans="1:13" x14ac:dyDescent="0.3">
      <c r="A121" s="3">
        <v>120</v>
      </c>
      <c r="B121" s="2" t="s">
        <v>81</v>
      </c>
      <c r="C121" s="2" t="s">
        <v>137</v>
      </c>
      <c r="D121" s="2" t="s">
        <v>15</v>
      </c>
      <c r="E121" s="2" t="s">
        <v>16</v>
      </c>
      <c r="F121" s="1">
        <v>7</v>
      </c>
      <c r="G121" s="2">
        <v>0</v>
      </c>
      <c r="H121" s="2">
        <v>0</v>
      </c>
      <c r="I121" s="2">
        <v>0</v>
      </c>
      <c r="J121" s="1">
        <v>1</v>
      </c>
      <c r="K121" s="1">
        <v>1</v>
      </c>
      <c r="L121" s="2" t="s">
        <v>17</v>
      </c>
      <c r="M121" s="6">
        <v>2024</v>
      </c>
    </row>
    <row r="122" spans="1:13" x14ac:dyDescent="0.3">
      <c r="A122" s="3">
        <v>121</v>
      </c>
      <c r="B122" s="1" t="s">
        <v>81</v>
      </c>
      <c r="C122" s="1" t="s">
        <v>138</v>
      </c>
      <c r="D122" s="1" t="s">
        <v>15</v>
      </c>
      <c r="E122" s="1" t="s">
        <v>16</v>
      </c>
      <c r="F122" s="1">
        <v>7</v>
      </c>
      <c r="G122" s="1">
        <v>5</v>
      </c>
      <c r="H122" s="1">
        <v>5</v>
      </c>
      <c r="I122" s="1">
        <v>5</v>
      </c>
      <c r="J122" s="1">
        <v>0</v>
      </c>
      <c r="K122" s="1">
        <v>5</v>
      </c>
      <c r="L122" s="1" t="s">
        <v>17</v>
      </c>
      <c r="M122" s="5">
        <v>2024</v>
      </c>
    </row>
    <row r="123" spans="1:13" x14ac:dyDescent="0.3">
      <c r="A123" s="3">
        <v>122</v>
      </c>
      <c r="B123" s="2" t="s">
        <v>81</v>
      </c>
      <c r="C123" s="2" t="s">
        <v>139</v>
      </c>
      <c r="D123" s="2" t="s">
        <v>15</v>
      </c>
      <c r="E123" s="2" t="s">
        <v>16</v>
      </c>
      <c r="F123" s="1">
        <v>7</v>
      </c>
      <c r="G123" s="2">
        <v>0</v>
      </c>
      <c r="H123" s="2">
        <v>0</v>
      </c>
      <c r="I123" s="2">
        <v>0</v>
      </c>
      <c r="J123" s="1">
        <v>2</v>
      </c>
      <c r="K123" s="1">
        <v>2</v>
      </c>
      <c r="L123" s="2" t="s">
        <v>17</v>
      </c>
      <c r="M123" s="6">
        <v>2024</v>
      </c>
    </row>
    <row r="124" spans="1:13" x14ac:dyDescent="0.3">
      <c r="A124" s="3">
        <v>123</v>
      </c>
      <c r="B124" s="1" t="s">
        <v>81</v>
      </c>
      <c r="C124" s="1" t="s">
        <v>140</v>
      </c>
      <c r="D124" s="1" t="s">
        <v>15</v>
      </c>
      <c r="E124" s="1" t="s">
        <v>16</v>
      </c>
      <c r="F124" s="1">
        <v>7</v>
      </c>
      <c r="G124" s="1">
        <v>0</v>
      </c>
      <c r="H124" s="1">
        <v>0</v>
      </c>
      <c r="I124" s="1">
        <v>0</v>
      </c>
      <c r="J124" s="1">
        <v>4</v>
      </c>
      <c r="K124" s="1">
        <v>4</v>
      </c>
      <c r="L124" s="1" t="s">
        <v>17</v>
      </c>
      <c r="M124" s="5">
        <v>2024</v>
      </c>
    </row>
    <row r="125" spans="1:13" x14ac:dyDescent="0.3">
      <c r="A125" s="3">
        <v>124</v>
      </c>
      <c r="B125" s="2" t="s">
        <v>81</v>
      </c>
      <c r="C125" s="2" t="s">
        <v>141</v>
      </c>
      <c r="D125" s="2" t="s">
        <v>15</v>
      </c>
      <c r="E125" s="2" t="s">
        <v>16</v>
      </c>
      <c r="F125" s="1">
        <v>7</v>
      </c>
      <c r="G125" s="2">
        <v>6</v>
      </c>
      <c r="H125" s="2">
        <v>6</v>
      </c>
      <c r="I125" s="2">
        <v>6</v>
      </c>
      <c r="J125" s="1">
        <v>1</v>
      </c>
      <c r="K125" s="1">
        <v>7</v>
      </c>
      <c r="L125" s="2" t="s">
        <v>17</v>
      </c>
      <c r="M125" s="6">
        <v>2024</v>
      </c>
    </row>
    <row r="126" spans="1:13" x14ac:dyDescent="0.3">
      <c r="A126" s="3">
        <v>125</v>
      </c>
      <c r="B126" s="1" t="s">
        <v>81</v>
      </c>
      <c r="C126" s="1" t="s">
        <v>142</v>
      </c>
      <c r="D126" s="1" t="s">
        <v>15</v>
      </c>
      <c r="E126" s="1" t="s">
        <v>16</v>
      </c>
      <c r="F126" s="1">
        <v>7</v>
      </c>
      <c r="G126" s="1">
        <v>0</v>
      </c>
      <c r="H126" s="1">
        <v>0</v>
      </c>
      <c r="I126" s="1">
        <v>0</v>
      </c>
      <c r="J126" s="1">
        <v>1</v>
      </c>
      <c r="K126" s="1">
        <v>1</v>
      </c>
      <c r="L126" s="1" t="s">
        <v>17</v>
      </c>
      <c r="M126" s="5">
        <v>2024</v>
      </c>
    </row>
    <row r="127" spans="1:13" x14ac:dyDescent="0.3">
      <c r="A127" s="3">
        <v>126</v>
      </c>
      <c r="B127" s="2" t="s">
        <v>81</v>
      </c>
      <c r="C127" s="2" t="s">
        <v>143</v>
      </c>
      <c r="D127" s="2" t="s">
        <v>15</v>
      </c>
      <c r="E127" s="2" t="s">
        <v>16</v>
      </c>
      <c r="F127" s="1">
        <v>7</v>
      </c>
      <c r="G127" s="2">
        <v>7</v>
      </c>
      <c r="H127" s="2">
        <v>7</v>
      </c>
      <c r="I127" s="2">
        <v>7</v>
      </c>
      <c r="J127" s="1">
        <v>0</v>
      </c>
      <c r="K127" s="1">
        <v>7</v>
      </c>
      <c r="L127" s="2" t="s">
        <v>17</v>
      </c>
      <c r="M127" s="6">
        <v>2024</v>
      </c>
    </row>
    <row r="128" spans="1:13" x14ac:dyDescent="0.3">
      <c r="A128" s="3">
        <v>127</v>
      </c>
      <c r="B128" s="1" t="s">
        <v>81</v>
      </c>
      <c r="C128" s="1" t="s">
        <v>144</v>
      </c>
      <c r="D128" s="1" t="s">
        <v>15</v>
      </c>
      <c r="E128" s="1" t="s">
        <v>16</v>
      </c>
      <c r="F128" s="1">
        <v>7</v>
      </c>
      <c r="G128" s="1">
        <v>3</v>
      </c>
      <c r="H128" s="1">
        <v>3</v>
      </c>
      <c r="I128" s="1">
        <v>2</v>
      </c>
      <c r="J128" s="1">
        <v>0</v>
      </c>
      <c r="K128" s="1">
        <v>2</v>
      </c>
      <c r="L128" s="1" t="s">
        <v>17</v>
      </c>
      <c r="M128" s="5">
        <v>2024</v>
      </c>
    </row>
    <row r="129" spans="1:13" x14ac:dyDescent="0.3">
      <c r="A129" s="3">
        <v>128</v>
      </c>
      <c r="B129" s="2" t="s">
        <v>81</v>
      </c>
      <c r="C129" s="2" t="s">
        <v>145</v>
      </c>
      <c r="D129" s="2" t="s">
        <v>15</v>
      </c>
      <c r="E129" s="2" t="s">
        <v>16</v>
      </c>
      <c r="F129" s="1">
        <v>7</v>
      </c>
      <c r="G129" s="2">
        <v>0</v>
      </c>
      <c r="H129" s="2">
        <v>0</v>
      </c>
      <c r="I129" s="2">
        <v>0</v>
      </c>
      <c r="J129" s="1">
        <v>1</v>
      </c>
      <c r="K129" s="1">
        <v>1</v>
      </c>
      <c r="L129" s="2" t="s">
        <v>17</v>
      </c>
      <c r="M129" s="6">
        <v>2024</v>
      </c>
    </row>
    <row r="130" spans="1:13" x14ac:dyDescent="0.3">
      <c r="A130" s="3">
        <v>129</v>
      </c>
      <c r="B130" s="1" t="s">
        <v>146</v>
      </c>
      <c r="C130" s="1" t="s">
        <v>147</v>
      </c>
      <c r="D130" s="1" t="s">
        <v>15</v>
      </c>
      <c r="E130" s="1" t="s">
        <v>16</v>
      </c>
      <c r="F130" s="1">
        <v>7</v>
      </c>
      <c r="G130" s="1">
        <v>4</v>
      </c>
      <c r="H130" s="1">
        <v>4</v>
      </c>
      <c r="I130" s="1">
        <v>1</v>
      </c>
      <c r="J130" s="1">
        <v>0</v>
      </c>
      <c r="K130" s="1">
        <v>1</v>
      </c>
      <c r="L130" s="1" t="s">
        <v>17</v>
      </c>
      <c r="M130" s="5">
        <v>2024</v>
      </c>
    </row>
    <row r="131" spans="1:13" x14ac:dyDescent="0.3">
      <c r="A131" s="3">
        <v>130</v>
      </c>
      <c r="B131" s="2" t="s">
        <v>146</v>
      </c>
      <c r="C131" s="2" t="s">
        <v>148</v>
      </c>
      <c r="D131" s="2" t="s">
        <v>15</v>
      </c>
      <c r="E131" s="2" t="s">
        <v>16</v>
      </c>
      <c r="F131" s="1">
        <v>7</v>
      </c>
      <c r="G131" s="2">
        <v>0</v>
      </c>
      <c r="H131" s="2">
        <v>0</v>
      </c>
      <c r="I131" s="2">
        <v>0</v>
      </c>
      <c r="J131" s="1">
        <v>0</v>
      </c>
      <c r="K131" s="1">
        <v>0</v>
      </c>
      <c r="L131" s="2" t="s">
        <v>17</v>
      </c>
      <c r="M131" s="6">
        <v>2024</v>
      </c>
    </row>
    <row r="132" spans="1:13" x14ac:dyDescent="0.3">
      <c r="A132" s="3">
        <v>131</v>
      </c>
      <c r="B132" s="1" t="s">
        <v>146</v>
      </c>
      <c r="C132" s="1" t="s">
        <v>149</v>
      </c>
      <c r="D132" s="1" t="s">
        <v>15</v>
      </c>
      <c r="E132" s="1" t="s">
        <v>16</v>
      </c>
      <c r="F132" s="1">
        <v>7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 t="s">
        <v>17</v>
      </c>
      <c r="M132" s="5">
        <v>2024</v>
      </c>
    </row>
    <row r="133" spans="1:13" x14ac:dyDescent="0.3">
      <c r="A133" s="3">
        <v>132</v>
      </c>
      <c r="B133" s="2" t="s">
        <v>146</v>
      </c>
      <c r="C133" s="2" t="s">
        <v>150</v>
      </c>
      <c r="D133" s="2" t="s">
        <v>15</v>
      </c>
      <c r="E133" s="2" t="s">
        <v>16</v>
      </c>
      <c r="F133" s="1">
        <v>7</v>
      </c>
      <c r="G133" s="2">
        <v>1</v>
      </c>
      <c r="H133" s="2">
        <v>1</v>
      </c>
      <c r="I133" s="2">
        <v>1</v>
      </c>
      <c r="J133" s="1">
        <v>0</v>
      </c>
      <c r="K133" s="1">
        <v>1</v>
      </c>
      <c r="L133" s="2" t="s">
        <v>17</v>
      </c>
      <c r="M133" s="6">
        <v>2024</v>
      </c>
    </row>
    <row r="134" spans="1:13" x14ac:dyDescent="0.3">
      <c r="A134" s="3">
        <v>133</v>
      </c>
      <c r="B134" s="1" t="s">
        <v>146</v>
      </c>
      <c r="C134" s="1" t="s">
        <v>151</v>
      </c>
      <c r="D134" s="1" t="s">
        <v>15</v>
      </c>
      <c r="E134" s="1" t="s">
        <v>16</v>
      </c>
      <c r="F134" s="1">
        <v>7</v>
      </c>
      <c r="G134" s="1">
        <v>7</v>
      </c>
      <c r="H134" s="1">
        <v>7</v>
      </c>
      <c r="I134" s="1">
        <v>7</v>
      </c>
      <c r="J134" s="1">
        <v>0</v>
      </c>
      <c r="K134" s="1">
        <v>7</v>
      </c>
      <c r="L134" s="1" t="s">
        <v>17</v>
      </c>
      <c r="M134" s="5">
        <v>2024</v>
      </c>
    </row>
    <row r="135" spans="1:13" x14ac:dyDescent="0.3">
      <c r="A135" s="3">
        <v>134</v>
      </c>
      <c r="B135" s="2" t="s">
        <v>146</v>
      </c>
      <c r="C135" s="2" t="s">
        <v>152</v>
      </c>
      <c r="D135" s="2" t="s">
        <v>15</v>
      </c>
      <c r="E135" s="2" t="s">
        <v>16</v>
      </c>
      <c r="F135" s="1">
        <v>7</v>
      </c>
      <c r="G135" s="2">
        <v>3</v>
      </c>
      <c r="H135" s="2">
        <v>3</v>
      </c>
      <c r="I135" s="2">
        <v>3</v>
      </c>
      <c r="J135" s="1">
        <v>0</v>
      </c>
      <c r="K135" s="1">
        <v>3</v>
      </c>
      <c r="L135" s="2" t="s">
        <v>17</v>
      </c>
      <c r="M135" s="6">
        <v>2024</v>
      </c>
    </row>
    <row r="136" spans="1:13" x14ac:dyDescent="0.3">
      <c r="A136" s="3">
        <v>135</v>
      </c>
      <c r="B136" s="1" t="s">
        <v>146</v>
      </c>
      <c r="C136" s="1" t="s">
        <v>153</v>
      </c>
      <c r="D136" s="1" t="s">
        <v>15</v>
      </c>
      <c r="E136" s="1" t="s">
        <v>16</v>
      </c>
      <c r="F136" s="1">
        <v>7</v>
      </c>
      <c r="G136" s="1">
        <v>3</v>
      </c>
      <c r="H136" s="1">
        <v>3</v>
      </c>
      <c r="I136" s="1">
        <v>3</v>
      </c>
      <c r="J136" s="1">
        <v>0</v>
      </c>
      <c r="K136" s="1">
        <v>3</v>
      </c>
      <c r="L136" s="1" t="s">
        <v>17</v>
      </c>
      <c r="M136" s="5">
        <v>2024</v>
      </c>
    </row>
    <row r="137" spans="1:13" x14ac:dyDescent="0.3">
      <c r="A137" s="3">
        <v>136</v>
      </c>
      <c r="B137" s="2" t="s">
        <v>146</v>
      </c>
      <c r="C137" s="2" t="s">
        <v>154</v>
      </c>
      <c r="D137" s="2" t="s">
        <v>15</v>
      </c>
      <c r="E137" s="2" t="s">
        <v>16</v>
      </c>
      <c r="F137" s="1">
        <v>7</v>
      </c>
      <c r="G137" s="2">
        <v>2</v>
      </c>
      <c r="H137" s="2">
        <v>2</v>
      </c>
      <c r="I137" s="2">
        <v>2</v>
      </c>
      <c r="J137" s="1">
        <v>0</v>
      </c>
      <c r="K137" s="1">
        <v>2</v>
      </c>
      <c r="L137" s="2" t="s">
        <v>17</v>
      </c>
      <c r="M137" s="6">
        <v>2024</v>
      </c>
    </row>
    <row r="138" spans="1:13" x14ac:dyDescent="0.3">
      <c r="A138" s="3">
        <v>137</v>
      </c>
      <c r="B138" s="1" t="s">
        <v>146</v>
      </c>
      <c r="C138" s="1" t="s">
        <v>155</v>
      </c>
      <c r="D138" s="1" t="s">
        <v>15</v>
      </c>
      <c r="E138" s="1" t="s">
        <v>16</v>
      </c>
      <c r="F138" s="1">
        <v>7</v>
      </c>
      <c r="G138" s="1">
        <v>1</v>
      </c>
      <c r="H138" s="1">
        <v>1</v>
      </c>
      <c r="I138" s="1">
        <v>1</v>
      </c>
      <c r="J138" s="1">
        <v>0</v>
      </c>
      <c r="K138" s="1">
        <v>1</v>
      </c>
      <c r="L138" s="1" t="s">
        <v>17</v>
      </c>
      <c r="M138" s="5">
        <v>2024</v>
      </c>
    </row>
    <row r="139" spans="1:13" x14ac:dyDescent="0.3">
      <c r="A139" s="3">
        <v>138</v>
      </c>
      <c r="B139" s="2" t="s">
        <v>146</v>
      </c>
      <c r="C139" s="2" t="s">
        <v>156</v>
      </c>
      <c r="D139" s="2" t="s">
        <v>15</v>
      </c>
      <c r="E139" s="2" t="s">
        <v>16</v>
      </c>
      <c r="F139" s="1">
        <v>7</v>
      </c>
      <c r="G139" s="2">
        <v>2</v>
      </c>
      <c r="H139" s="2">
        <v>2</v>
      </c>
      <c r="I139" s="2">
        <v>2</v>
      </c>
      <c r="J139" s="1">
        <v>0</v>
      </c>
      <c r="K139" s="1">
        <v>2</v>
      </c>
      <c r="L139" s="2" t="s">
        <v>17</v>
      </c>
      <c r="M139" s="6">
        <v>2024</v>
      </c>
    </row>
    <row r="140" spans="1:13" x14ac:dyDescent="0.3">
      <c r="A140" s="3">
        <v>139</v>
      </c>
      <c r="B140" s="1" t="s">
        <v>146</v>
      </c>
      <c r="C140" s="1" t="s">
        <v>157</v>
      </c>
      <c r="D140" s="1" t="s">
        <v>15</v>
      </c>
      <c r="E140" s="1" t="s">
        <v>16</v>
      </c>
      <c r="F140" s="1">
        <v>7</v>
      </c>
      <c r="G140" s="1">
        <v>5</v>
      </c>
      <c r="H140" s="1">
        <v>5</v>
      </c>
      <c r="I140" s="1">
        <v>4</v>
      </c>
      <c r="J140" s="1">
        <v>0</v>
      </c>
      <c r="K140" s="1">
        <v>4</v>
      </c>
      <c r="L140" s="1" t="s">
        <v>17</v>
      </c>
      <c r="M140" s="5">
        <v>2024</v>
      </c>
    </row>
    <row r="141" spans="1:13" x14ac:dyDescent="0.3">
      <c r="A141" s="3">
        <v>140</v>
      </c>
      <c r="B141" s="2" t="s">
        <v>146</v>
      </c>
      <c r="C141" s="2" t="s">
        <v>158</v>
      </c>
      <c r="D141" s="2" t="s">
        <v>15</v>
      </c>
      <c r="E141" s="2" t="s">
        <v>16</v>
      </c>
      <c r="F141" s="1">
        <v>7</v>
      </c>
      <c r="G141" s="2">
        <v>0</v>
      </c>
      <c r="H141" s="2">
        <v>0</v>
      </c>
      <c r="I141" s="2">
        <v>0</v>
      </c>
      <c r="J141" s="1">
        <v>5</v>
      </c>
      <c r="K141" s="1">
        <v>5</v>
      </c>
      <c r="L141" s="2" t="s">
        <v>17</v>
      </c>
      <c r="M141" s="6">
        <v>2024</v>
      </c>
    </row>
    <row r="142" spans="1:13" x14ac:dyDescent="0.3">
      <c r="A142" s="3">
        <v>141</v>
      </c>
      <c r="B142" s="1" t="s">
        <v>146</v>
      </c>
      <c r="C142" s="1" t="s">
        <v>159</v>
      </c>
      <c r="D142" s="1" t="s">
        <v>15</v>
      </c>
      <c r="E142" s="1" t="s">
        <v>16</v>
      </c>
      <c r="F142" s="1">
        <v>7</v>
      </c>
      <c r="G142" s="1">
        <v>5</v>
      </c>
      <c r="H142" s="1">
        <v>5</v>
      </c>
      <c r="I142" s="1">
        <v>2</v>
      </c>
      <c r="J142" s="1">
        <v>0</v>
      </c>
      <c r="K142" s="1">
        <v>2</v>
      </c>
      <c r="L142" s="1" t="s">
        <v>17</v>
      </c>
      <c r="M142" s="5">
        <v>2024</v>
      </c>
    </row>
    <row r="143" spans="1:13" x14ac:dyDescent="0.3">
      <c r="A143" s="3">
        <v>142</v>
      </c>
      <c r="B143" s="2" t="s">
        <v>146</v>
      </c>
      <c r="C143" s="2" t="s">
        <v>160</v>
      </c>
      <c r="D143" s="2" t="s">
        <v>15</v>
      </c>
      <c r="E143" s="2" t="s">
        <v>16</v>
      </c>
      <c r="F143" s="1">
        <v>7</v>
      </c>
      <c r="G143" s="2">
        <v>9</v>
      </c>
      <c r="H143" s="2">
        <v>9</v>
      </c>
      <c r="I143" s="2">
        <v>9</v>
      </c>
      <c r="J143" s="1">
        <v>0</v>
      </c>
      <c r="K143" s="1">
        <v>9</v>
      </c>
      <c r="L143" s="2" t="s">
        <v>17</v>
      </c>
      <c r="M143" s="6">
        <v>2024</v>
      </c>
    </row>
    <row r="144" spans="1:13" x14ac:dyDescent="0.3">
      <c r="A144" s="3">
        <v>143</v>
      </c>
      <c r="B144" s="1" t="s">
        <v>146</v>
      </c>
      <c r="C144" s="1" t="s">
        <v>161</v>
      </c>
      <c r="D144" s="1" t="s">
        <v>15</v>
      </c>
      <c r="E144" s="1" t="s">
        <v>16</v>
      </c>
      <c r="F144" s="1">
        <v>7</v>
      </c>
      <c r="G144" s="1">
        <v>7</v>
      </c>
      <c r="H144" s="1">
        <v>7</v>
      </c>
      <c r="I144" s="1">
        <v>7</v>
      </c>
      <c r="J144" s="1">
        <v>0</v>
      </c>
      <c r="K144" s="1">
        <v>7</v>
      </c>
      <c r="L144" s="1" t="s">
        <v>17</v>
      </c>
      <c r="M144" s="5">
        <v>2024</v>
      </c>
    </row>
    <row r="145" spans="1:13" x14ac:dyDescent="0.3">
      <c r="A145" s="3">
        <v>144</v>
      </c>
      <c r="B145" s="2" t="s">
        <v>146</v>
      </c>
      <c r="C145" s="2" t="s">
        <v>162</v>
      </c>
      <c r="D145" s="2" t="s">
        <v>15</v>
      </c>
      <c r="E145" s="2" t="s">
        <v>16</v>
      </c>
      <c r="F145" s="1">
        <v>7</v>
      </c>
      <c r="G145" s="2">
        <v>33</v>
      </c>
      <c r="H145" s="2">
        <v>8</v>
      </c>
      <c r="I145" s="2">
        <v>8</v>
      </c>
      <c r="J145" s="1">
        <v>2</v>
      </c>
      <c r="K145" s="1">
        <v>10</v>
      </c>
      <c r="L145" s="2" t="s">
        <v>17</v>
      </c>
      <c r="M145" s="6">
        <v>2024</v>
      </c>
    </row>
    <row r="146" spans="1:13" x14ac:dyDescent="0.3">
      <c r="A146" s="3">
        <v>145</v>
      </c>
      <c r="B146" s="1" t="s">
        <v>146</v>
      </c>
      <c r="C146" s="1" t="s">
        <v>163</v>
      </c>
      <c r="D146" s="1" t="s">
        <v>15</v>
      </c>
      <c r="E146" s="1" t="s">
        <v>16</v>
      </c>
      <c r="F146" s="1">
        <v>7</v>
      </c>
      <c r="G146" s="1">
        <v>2</v>
      </c>
      <c r="H146" s="1">
        <v>2</v>
      </c>
      <c r="I146" s="1">
        <v>2</v>
      </c>
      <c r="J146" s="1">
        <v>3</v>
      </c>
      <c r="K146" s="1">
        <v>5</v>
      </c>
      <c r="L146" s="1" t="s">
        <v>17</v>
      </c>
      <c r="M146" s="5">
        <v>2024</v>
      </c>
    </row>
    <row r="147" spans="1:13" x14ac:dyDescent="0.3">
      <c r="A147" s="3">
        <v>146</v>
      </c>
      <c r="B147" s="2" t="s">
        <v>146</v>
      </c>
      <c r="C147" s="2" t="s">
        <v>164</v>
      </c>
      <c r="D147" s="2" t="s">
        <v>15</v>
      </c>
      <c r="E147" s="2" t="s">
        <v>16</v>
      </c>
      <c r="F147" s="1">
        <v>7</v>
      </c>
      <c r="G147" s="2">
        <v>0</v>
      </c>
      <c r="H147" s="2">
        <v>0</v>
      </c>
      <c r="I147" s="2">
        <v>0</v>
      </c>
      <c r="J147" s="1">
        <v>0</v>
      </c>
      <c r="K147" s="1">
        <v>0</v>
      </c>
      <c r="L147" s="2" t="s">
        <v>17</v>
      </c>
      <c r="M147" s="6">
        <v>2024</v>
      </c>
    </row>
    <row r="148" spans="1:13" x14ac:dyDescent="0.3">
      <c r="A148" s="3">
        <v>147</v>
      </c>
      <c r="B148" s="1" t="s">
        <v>146</v>
      </c>
      <c r="C148" s="1" t="s">
        <v>165</v>
      </c>
      <c r="D148" s="1" t="s">
        <v>15</v>
      </c>
      <c r="E148" s="1" t="s">
        <v>16</v>
      </c>
      <c r="F148" s="1">
        <v>7</v>
      </c>
      <c r="G148" s="1">
        <v>5</v>
      </c>
      <c r="H148" s="1">
        <v>3</v>
      </c>
      <c r="I148" s="1">
        <v>1</v>
      </c>
      <c r="J148" s="1">
        <v>0</v>
      </c>
      <c r="K148" s="1">
        <v>1</v>
      </c>
      <c r="L148" s="1" t="s">
        <v>17</v>
      </c>
      <c r="M148" s="5">
        <v>2024</v>
      </c>
    </row>
    <row r="149" spans="1:13" x14ac:dyDescent="0.3">
      <c r="A149" s="3">
        <v>148</v>
      </c>
      <c r="B149" s="2" t="s">
        <v>146</v>
      </c>
      <c r="C149" s="2" t="s">
        <v>166</v>
      </c>
      <c r="D149" s="2" t="s">
        <v>15</v>
      </c>
      <c r="E149" s="2" t="s">
        <v>16</v>
      </c>
      <c r="F149" s="1">
        <v>7</v>
      </c>
      <c r="G149" s="2">
        <v>1</v>
      </c>
      <c r="H149" s="2">
        <v>1</v>
      </c>
      <c r="I149" s="2">
        <v>1</v>
      </c>
      <c r="J149" s="1">
        <v>1</v>
      </c>
      <c r="K149" s="1">
        <v>2</v>
      </c>
      <c r="L149" s="2" t="s">
        <v>17</v>
      </c>
      <c r="M149" s="6">
        <v>2024</v>
      </c>
    </row>
    <row r="150" spans="1:13" x14ac:dyDescent="0.3">
      <c r="A150" s="3">
        <v>149</v>
      </c>
      <c r="B150" s="1" t="s">
        <v>146</v>
      </c>
      <c r="C150" s="1" t="s">
        <v>167</v>
      </c>
      <c r="D150" s="1" t="s">
        <v>15</v>
      </c>
      <c r="E150" s="1" t="s">
        <v>16</v>
      </c>
      <c r="F150" s="1">
        <v>7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 t="s">
        <v>17</v>
      </c>
      <c r="M150" s="5">
        <v>2024</v>
      </c>
    </row>
    <row r="151" spans="1:13" x14ac:dyDescent="0.3">
      <c r="A151" s="3">
        <v>150</v>
      </c>
      <c r="B151" s="2" t="s">
        <v>146</v>
      </c>
      <c r="C151" s="2" t="s">
        <v>168</v>
      </c>
      <c r="D151" s="2" t="s">
        <v>15</v>
      </c>
      <c r="E151" s="2" t="s">
        <v>16</v>
      </c>
      <c r="F151" s="1">
        <v>7</v>
      </c>
      <c r="G151" s="2">
        <v>3</v>
      </c>
      <c r="H151" s="2">
        <v>3</v>
      </c>
      <c r="I151" s="2">
        <v>1</v>
      </c>
      <c r="J151" s="1">
        <v>0</v>
      </c>
      <c r="K151" s="1">
        <v>1</v>
      </c>
      <c r="L151" s="2" t="s">
        <v>17</v>
      </c>
      <c r="M151" s="6">
        <v>2024</v>
      </c>
    </row>
    <row r="152" spans="1:13" x14ac:dyDescent="0.3">
      <c r="A152" s="3">
        <v>151</v>
      </c>
      <c r="B152" s="1" t="s">
        <v>146</v>
      </c>
      <c r="C152" s="1" t="s">
        <v>169</v>
      </c>
      <c r="D152" s="1" t="s">
        <v>15</v>
      </c>
      <c r="E152" s="1" t="s">
        <v>16</v>
      </c>
      <c r="F152" s="1">
        <v>7</v>
      </c>
      <c r="G152" s="1">
        <v>9</v>
      </c>
      <c r="H152" s="1">
        <v>9</v>
      </c>
      <c r="I152" s="1">
        <v>7</v>
      </c>
      <c r="J152" s="1">
        <v>0</v>
      </c>
      <c r="K152" s="1">
        <v>7</v>
      </c>
      <c r="L152" s="1" t="s">
        <v>17</v>
      </c>
      <c r="M152" s="5">
        <v>2024</v>
      </c>
    </row>
    <row r="153" spans="1:13" x14ac:dyDescent="0.3">
      <c r="A153" s="3">
        <v>152</v>
      </c>
      <c r="B153" s="2" t="s">
        <v>146</v>
      </c>
      <c r="C153" s="2" t="s">
        <v>170</v>
      </c>
      <c r="D153" s="2" t="s">
        <v>15</v>
      </c>
      <c r="E153" s="2" t="s">
        <v>16</v>
      </c>
      <c r="F153" s="1">
        <v>7</v>
      </c>
      <c r="G153" s="2">
        <v>2</v>
      </c>
      <c r="H153" s="2">
        <v>2</v>
      </c>
      <c r="I153" s="2">
        <v>2</v>
      </c>
      <c r="J153" s="1">
        <v>0</v>
      </c>
      <c r="K153" s="1">
        <v>2</v>
      </c>
      <c r="L153" s="2" t="s">
        <v>17</v>
      </c>
      <c r="M153" s="6">
        <v>2024</v>
      </c>
    </row>
    <row r="154" spans="1:13" x14ac:dyDescent="0.3">
      <c r="A154" s="3">
        <v>153</v>
      </c>
      <c r="B154" s="1" t="s">
        <v>146</v>
      </c>
      <c r="C154" s="1" t="s">
        <v>171</v>
      </c>
      <c r="D154" s="1" t="s">
        <v>15</v>
      </c>
      <c r="E154" s="1" t="s">
        <v>16</v>
      </c>
      <c r="F154" s="1">
        <v>7</v>
      </c>
      <c r="G154" s="1">
        <v>7</v>
      </c>
      <c r="H154" s="1">
        <v>7</v>
      </c>
      <c r="I154" s="1">
        <v>7</v>
      </c>
      <c r="J154" s="1">
        <v>0</v>
      </c>
      <c r="K154" s="1">
        <v>7</v>
      </c>
      <c r="L154" s="1" t="s">
        <v>17</v>
      </c>
      <c r="M154" s="5">
        <v>2024</v>
      </c>
    </row>
    <row r="155" spans="1:13" x14ac:dyDescent="0.3">
      <c r="A155" s="3">
        <v>154</v>
      </c>
      <c r="B155" s="2" t="s">
        <v>146</v>
      </c>
      <c r="C155" s="2" t="s">
        <v>172</v>
      </c>
      <c r="D155" s="2" t="s">
        <v>15</v>
      </c>
      <c r="E155" s="2" t="s">
        <v>16</v>
      </c>
      <c r="F155" s="1">
        <v>7</v>
      </c>
      <c r="G155" s="2">
        <v>8</v>
      </c>
      <c r="H155" s="2">
        <v>8</v>
      </c>
      <c r="I155" s="2">
        <v>8</v>
      </c>
      <c r="J155" s="1">
        <v>1</v>
      </c>
      <c r="K155" s="1">
        <v>9</v>
      </c>
      <c r="L155" s="2" t="s">
        <v>17</v>
      </c>
      <c r="M155" s="6">
        <v>2024</v>
      </c>
    </row>
    <row r="156" spans="1:13" x14ac:dyDescent="0.3">
      <c r="A156" s="3">
        <v>155</v>
      </c>
      <c r="B156" s="1" t="s">
        <v>146</v>
      </c>
      <c r="C156" s="1" t="s">
        <v>173</v>
      </c>
      <c r="D156" s="1" t="s">
        <v>15</v>
      </c>
      <c r="E156" s="1" t="s">
        <v>16</v>
      </c>
      <c r="F156" s="1">
        <v>7</v>
      </c>
      <c r="G156" s="1">
        <v>6</v>
      </c>
      <c r="H156" s="1">
        <v>6</v>
      </c>
      <c r="I156" s="1">
        <v>6</v>
      </c>
      <c r="J156" s="1">
        <v>5</v>
      </c>
      <c r="K156" s="1">
        <v>11</v>
      </c>
      <c r="L156" s="1" t="s">
        <v>17</v>
      </c>
      <c r="M156" s="5">
        <v>2024</v>
      </c>
    </row>
    <row r="157" spans="1:13" x14ac:dyDescent="0.3">
      <c r="A157" s="3">
        <v>156</v>
      </c>
      <c r="B157" s="2" t="s">
        <v>146</v>
      </c>
      <c r="C157" s="2" t="s">
        <v>174</v>
      </c>
      <c r="D157" s="2" t="s">
        <v>15</v>
      </c>
      <c r="E157" s="2" t="s">
        <v>16</v>
      </c>
      <c r="F157" s="1">
        <v>7</v>
      </c>
      <c r="G157" s="2">
        <v>11</v>
      </c>
      <c r="H157" s="2">
        <v>11</v>
      </c>
      <c r="I157" s="2">
        <v>10</v>
      </c>
      <c r="J157" s="1">
        <v>0</v>
      </c>
      <c r="K157" s="1">
        <v>10</v>
      </c>
      <c r="L157" s="2" t="s">
        <v>17</v>
      </c>
      <c r="M157" s="6">
        <v>2024</v>
      </c>
    </row>
    <row r="158" spans="1:13" x14ac:dyDescent="0.3">
      <c r="A158" s="3">
        <v>157</v>
      </c>
      <c r="B158" s="1" t="s">
        <v>146</v>
      </c>
      <c r="C158" s="1" t="s">
        <v>175</v>
      </c>
      <c r="D158" s="1" t="s">
        <v>15</v>
      </c>
      <c r="E158" s="1" t="s">
        <v>16</v>
      </c>
      <c r="F158" s="1">
        <v>7</v>
      </c>
      <c r="G158" s="1">
        <v>3</v>
      </c>
      <c r="H158" s="1">
        <v>3</v>
      </c>
      <c r="I158" s="1">
        <v>3</v>
      </c>
      <c r="J158" s="1">
        <v>0</v>
      </c>
      <c r="K158" s="1">
        <v>3</v>
      </c>
      <c r="L158" s="1" t="s">
        <v>17</v>
      </c>
      <c r="M158" s="5">
        <v>2024</v>
      </c>
    </row>
    <row r="159" spans="1:13" x14ac:dyDescent="0.3">
      <c r="A159" s="3">
        <v>158</v>
      </c>
      <c r="B159" s="2" t="s">
        <v>146</v>
      </c>
      <c r="C159" s="2" t="s">
        <v>176</v>
      </c>
      <c r="D159" s="2" t="s">
        <v>15</v>
      </c>
      <c r="E159" s="2" t="s">
        <v>16</v>
      </c>
      <c r="F159" s="1">
        <v>7</v>
      </c>
      <c r="G159" s="2">
        <v>1</v>
      </c>
      <c r="H159" s="2">
        <v>0</v>
      </c>
      <c r="I159" s="2">
        <v>0</v>
      </c>
      <c r="J159" s="1">
        <v>0</v>
      </c>
      <c r="K159" s="1">
        <v>0</v>
      </c>
      <c r="L159" s="2" t="s">
        <v>17</v>
      </c>
      <c r="M159" s="6">
        <v>2024</v>
      </c>
    </row>
    <row r="160" spans="1:13" x14ac:dyDescent="0.3">
      <c r="A160" s="3">
        <v>159</v>
      </c>
      <c r="B160" s="1" t="s">
        <v>146</v>
      </c>
      <c r="C160" s="1" t="s">
        <v>177</v>
      </c>
      <c r="D160" s="1" t="s">
        <v>15</v>
      </c>
      <c r="E160" s="1" t="s">
        <v>16</v>
      </c>
      <c r="F160" s="1">
        <v>7</v>
      </c>
      <c r="G160" s="1">
        <v>0</v>
      </c>
      <c r="H160" s="1">
        <v>0</v>
      </c>
      <c r="I160" s="1">
        <v>0</v>
      </c>
      <c r="J160" s="1">
        <v>2</v>
      </c>
      <c r="K160" s="1">
        <v>2</v>
      </c>
      <c r="L160" s="1" t="s">
        <v>17</v>
      </c>
      <c r="M160" s="5">
        <v>2024</v>
      </c>
    </row>
    <row r="161" spans="1:13" x14ac:dyDescent="0.3">
      <c r="A161" s="3">
        <v>160</v>
      </c>
      <c r="B161" s="2" t="s">
        <v>146</v>
      </c>
      <c r="C161" s="2" t="s">
        <v>178</v>
      </c>
      <c r="D161" s="2" t="s">
        <v>15</v>
      </c>
      <c r="E161" s="2" t="s">
        <v>16</v>
      </c>
      <c r="F161" s="1">
        <v>7</v>
      </c>
      <c r="G161" s="2">
        <v>4</v>
      </c>
      <c r="H161" s="2">
        <v>4</v>
      </c>
      <c r="I161" s="2">
        <v>3</v>
      </c>
      <c r="J161" s="1">
        <v>0</v>
      </c>
      <c r="K161" s="1">
        <v>3</v>
      </c>
      <c r="L161" s="2" t="s">
        <v>17</v>
      </c>
      <c r="M161" s="6">
        <v>2024</v>
      </c>
    </row>
    <row r="162" spans="1:13" x14ac:dyDescent="0.3">
      <c r="A162" s="3">
        <v>161</v>
      </c>
      <c r="B162" s="1" t="s">
        <v>146</v>
      </c>
      <c r="C162" s="1" t="s">
        <v>179</v>
      </c>
      <c r="D162" s="1" t="s">
        <v>15</v>
      </c>
      <c r="E162" s="1" t="s">
        <v>16</v>
      </c>
      <c r="F162" s="1">
        <v>7</v>
      </c>
      <c r="G162" s="1">
        <v>1</v>
      </c>
      <c r="H162" s="1">
        <v>1</v>
      </c>
      <c r="I162" s="1">
        <v>0</v>
      </c>
      <c r="J162" s="1">
        <v>0</v>
      </c>
      <c r="K162" s="1">
        <v>0</v>
      </c>
      <c r="L162" s="1" t="s">
        <v>17</v>
      </c>
      <c r="M162" s="5">
        <v>2024</v>
      </c>
    </row>
    <row r="163" spans="1:13" x14ac:dyDescent="0.3">
      <c r="A163" s="3">
        <v>162</v>
      </c>
      <c r="B163" s="2" t="s">
        <v>146</v>
      </c>
      <c r="C163" s="2" t="s">
        <v>180</v>
      </c>
      <c r="D163" s="2" t="s">
        <v>15</v>
      </c>
      <c r="E163" s="2" t="s">
        <v>16</v>
      </c>
      <c r="F163" s="1">
        <v>7</v>
      </c>
      <c r="G163" s="2">
        <v>2</v>
      </c>
      <c r="H163" s="2">
        <v>2</v>
      </c>
      <c r="I163" s="2">
        <v>2</v>
      </c>
      <c r="J163" s="1">
        <v>0</v>
      </c>
      <c r="K163" s="1">
        <v>2</v>
      </c>
      <c r="L163" s="2" t="s">
        <v>17</v>
      </c>
      <c r="M163" s="6">
        <v>2024</v>
      </c>
    </row>
    <row r="164" spans="1:13" x14ac:dyDescent="0.3">
      <c r="A164" s="3">
        <v>163</v>
      </c>
      <c r="B164" s="1" t="s">
        <v>146</v>
      </c>
      <c r="C164" s="1" t="s">
        <v>181</v>
      </c>
      <c r="D164" s="1" t="s">
        <v>15</v>
      </c>
      <c r="E164" s="1" t="s">
        <v>16</v>
      </c>
      <c r="F164" s="1">
        <v>7</v>
      </c>
      <c r="G164" s="1">
        <v>0</v>
      </c>
      <c r="H164" s="1">
        <v>0</v>
      </c>
      <c r="I164" s="1">
        <v>0</v>
      </c>
      <c r="J164" s="1">
        <v>1</v>
      </c>
      <c r="K164" s="1">
        <v>1</v>
      </c>
      <c r="L164" s="1" t="s">
        <v>17</v>
      </c>
      <c r="M164" s="5">
        <v>2024</v>
      </c>
    </row>
    <row r="165" spans="1:13" x14ac:dyDescent="0.3">
      <c r="A165" s="3">
        <v>164</v>
      </c>
      <c r="B165" s="2" t="s">
        <v>146</v>
      </c>
      <c r="C165" s="2" t="s">
        <v>182</v>
      </c>
      <c r="D165" s="2" t="s">
        <v>15</v>
      </c>
      <c r="E165" s="2" t="s">
        <v>16</v>
      </c>
      <c r="F165" s="1">
        <v>7</v>
      </c>
      <c r="G165" s="2">
        <v>3</v>
      </c>
      <c r="H165" s="2">
        <v>3</v>
      </c>
      <c r="I165" s="2">
        <v>2</v>
      </c>
      <c r="J165" s="1">
        <v>0</v>
      </c>
      <c r="K165" s="1">
        <v>2</v>
      </c>
      <c r="L165" s="2" t="s">
        <v>17</v>
      </c>
      <c r="M165" s="6">
        <v>2024</v>
      </c>
    </row>
    <row r="166" spans="1:13" x14ac:dyDescent="0.3">
      <c r="A166" s="3">
        <v>165</v>
      </c>
      <c r="B166" s="1" t="s">
        <v>146</v>
      </c>
      <c r="C166" s="1" t="s">
        <v>183</v>
      </c>
      <c r="D166" s="1" t="s">
        <v>15</v>
      </c>
      <c r="E166" s="1" t="s">
        <v>16</v>
      </c>
      <c r="F166" s="1">
        <v>7</v>
      </c>
      <c r="G166" s="1">
        <v>5</v>
      </c>
      <c r="H166" s="1">
        <v>5</v>
      </c>
      <c r="I166" s="1">
        <v>3</v>
      </c>
      <c r="J166" s="1">
        <v>0</v>
      </c>
      <c r="K166" s="1">
        <v>3</v>
      </c>
      <c r="L166" s="1" t="s">
        <v>17</v>
      </c>
      <c r="M166" s="5">
        <v>2024</v>
      </c>
    </row>
    <row r="167" spans="1:13" x14ac:dyDescent="0.3">
      <c r="A167" s="3">
        <v>166</v>
      </c>
      <c r="B167" s="2" t="s">
        <v>146</v>
      </c>
      <c r="C167" s="2" t="s">
        <v>184</v>
      </c>
      <c r="D167" s="2" t="s">
        <v>15</v>
      </c>
      <c r="E167" s="2" t="s">
        <v>16</v>
      </c>
      <c r="F167" s="1">
        <v>7</v>
      </c>
      <c r="G167" s="2">
        <v>4</v>
      </c>
      <c r="H167" s="2">
        <v>3</v>
      </c>
      <c r="I167" s="2">
        <v>3</v>
      </c>
      <c r="J167" s="1">
        <v>0</v>
      </c>
      <c r="K167" s="1">
        <v>3</v>
      </c>
      <c r="L167" s="2" t="s">
        <v>17</v>
      </c>
      <c r="M167" s="6">
        <v>2024</v>
      </c>
    </row>
    <row r="168" spans="1:13" x14ac:dyDescent="0.3">
      <c r="A168" s="3">
        <v>167</v>
      </c>
      <c r="B168" s="1" t="s">
        <v>146</v>
      </c>
      <c r="C168" s="1" t="s">
        <v>185</v>
      </c>
      <c r="D168" s="1" t="s">
        <v>15</v>
      </c>
      <c r="E168" s="1" t="s">
        <v>16</v>
      </c>
      <c r="F168" s="1">
        <v>7</v>
      </c>
      <c r="G168" s="1">
        <v>1</v>
      </c>
      <c r="H168" s="1">
        <v>1</v>
      </c>
      <c r="I168" s="1">
        <v>1</v>
      </c>
      <c r="J168" s="1">
        <v>0</v>
      </c>
      <c r="K168" s="1">
        <v>1</v>
      </c>
      <c r="L168" s="1" t="s">
        <v>17</v>
      </c>
      <c r="M168" s="5">
        <v>2024</v>
      </c>
    </row>
    <row r="169" spans="1:13" x14ac:dyDescent="0.3">
      <c r="A169" s="3">
        <v>168</v>
      </c>
      <c r="B169" s="2" t="s">
        <v>146</v>
      </c>
      <c r="C169" s="2" t="s">
        <v>186</v>
      </c>
      <c r="D169" s="2" t="s">
        <v>15</v>
      </c>
      <c r="E169" s="2" t="s">
        <v>16</v>
      </c>
      <c r="F169" s="1">
        <v>7</v>
      </c>
      <c r="G169" s="2">
        <v>2</v>
      </c>
      <c r="H169" s="2">
        <v>2</v>
      </c>
      <c r="I169" s="2">
        <v>2</v>
      </c>
      <c r="J169" s="1">
        <v>1</v>
      </c>
      <c r="K169" s="1">
        <v>3</v>
      </c>
      <c r="L169" s="2" t="s">
        <v>17</v>
      </c>
      <c r="M169" s="6">
        <v>2024</v>
      </c>
    </row>
    <row r="170" spans="1:13" x14ac:dyDescent="0.3">
      <c r="A170" s="3">
        <v>169</v>
      </c>
      <c r="B170" s="1" t="s">
        <v>146</v>
      </c>
      <c r="C170" s="1" t="s">
        <v>187</v>
      </c>
      <c r="D170" s="1" t="s">
        <v>15</v>
      </c>
      <c r="E170" s="1" t="s">
        <v>16</v>
      </c>
      <c r="F170" s="1">
        <v>7</v>
      </c>
      <c r="G170" s="1">
        <v>6</v>
      </c>
      <c r="H170" s="1">
        <v>6</v>
      </c>
      <c r="I170" s="1">
        <v>6</v>
      </c>
      <c r="J170" s="1">
        <v>1</v>
      </c>
      <c r="K170" s="1">
        <v>7</v>
      </c>
      <c r="L170" s="1" t="s">
        <v>17</v>
      </c>
      <c r="M170" s="5">
        <v>2024</v>
      </c>
    </row>
    <row r="171" spans="1:13" x14ac:dyDescent="0.3">
      <c r="A171" s="3">
        <v>170</v>
      </c>
      <c r="B171" s="2" t="s">
        <v>146</v>
      </c>
      <c r="C171" s="2" t="s">
        <v>188</v>
      </c>
      <c r="D171" s="2" t="s">
        <v>15</v>
      </c>
      <c r="E171" s="2" t="s">
        <v>16</v>
      </c>
      <c r="F171" s="1">
        <v>7</v>
      </c>
      <c r="G171" s="2">
        <v>1</v>
      </c>
      <c r="H171" s="2">
        <v>1</v>
      </c>
      <c r="I171" s="2">
        <v>1</v>
      </c>
      <c r="J171" s="1">
        <v>0</v>
      </c>
      <c r="K171" s="1">
        <v>1</v>
      </c>
      <c r="L171" s="2" t="s">
        <v>17</v>
      </c>
      <c r="M171" s="6">
        <v>2024</v>
      </c>
    </row>
    <row r="172" spans="1:13" x14ac:dyDescent="0.3">
      <c r="A172" s="3">
        <v>171</v>
      </c>
      <c r="B172" s="1" t="s">
        <v>146</v>
      </c>
      <c r="C172" s="1" t="s">
        <v>189</v>
      </c>
      <c r="D172" s="1" t="s">
        <v>15</v>
      </c>
      <c r="E172" s="1" t="s">
        <v>16</v>
      </c>
      <c r="F172" s="1">
        <v>7</v>
      </c>
      <c r="G172" s="1">
        <v>4</v>
      </c>
      <c r="H172" s="1">
        <v>4</v>
      </c>
      <c r="I172" s="1">
        <v>4</v>
      </c>
      <c r="J172" s="1">
        <v>7</v>
      </c>
      <c r="K172" s="1">
        <v>11</v>
      </c>
      <c r="L172" s="1" t="s">
        <v>17</v>
      </c>
      <c r="M172" s="5">
        <v>2024</v>
      </c>
    </row>
    <row r="173" spans="1:13" x14ac:dyDescent="0.3">
      <c r="A173" s="3">
        <v>172</v>
      </c>
      <c r="B173" s="2" t="s">
        <v>146</v>
      </c>
      <c r="C173" s="2" t="s">
        <v>190</v>
      </c>
      <c r="D173" s="2" t="s">
        <v>15</v>
      </c>
      <c r="E173" s="2" t="s">
        <v>16</v>
      </c>
      <c r="F173" s="1">
        <v>7</v>
      </c>
      <c r="G173" s="2">
        <v>5</v>
      </c>
      <c r="H173" s="2">
        <v>5</v>
      </c>
      <c r="I173" s="2">
        <v>4</v>
      </c>
      <c r="J173" s="1">
        <v>2</v>
      </c>
      <c r="K173" s="1">
        <v>6</v>
      </c>
      <c r="L173" s="2" t="s">
        <v>17</v>
      </c>
      <c r="M173" s="6">
        <v>2024</v>
      </c>
    </row>
    <row r="174" spans="1:13" x14ac:dyDescent="0.3">
      <c r="A174" s="3">
        <v>173</v>
      </c>
      <c r="B174" s="1" t="s">
        <v>146</v>
      </c>
      <c r="C174" s="1" t="s">
        <v>191</v>
      </c>
      <c r="D174" s="1" t="s">
        <v>15</v>
      </c>
      <c r="E174" s="1" t="s">
        <v>16</v>
      </c>
      <c r="F174" s="1">
        <v>7</v>
      </c>
      <c r="G174" s="1">
        <v>4</v>
      </c>
      <c r="H174" s="1">
        <v>4</v>
      </c>
      <c r="I174" s="1">
        <v>3</v>
      </c>
      <c r="J174" s="1">
        <v>0</v>
      </c>
      <c r="K174" s="1">
        <v>3</v>
      </c>
      <c r="L174" s="1" t="s">
        <v>17</v>
      </c>
      <c r="M174" s="5">
        <v>2024</v>
      </c>
    </row>
    <row r="175" spans="1:13" x14ac:dyDescent="0.3">
      <c r="A175" s="3">
        <v>174</v>
      </c>
      <c r="B175" s="2" t="s">
        <v>146</v>
      </c>
      <c r="C175" s="2" t="s">
        <v>192</v>
      </c>
      <c r="D175" s="2" t="s">
        <v>15</v>
      </c>
      <c r="E175" s="2" t="s">
        <v>16</v>
      </c>
      <c r="F175" s="1">
        <v>7</v>
      </c>
      <c r="G175" s="2">
        <v>5</v>
      </c>
      <c r="H175" s="2">
        <v>5</v>
      </c>
      <c r="I175" s="2">
        <v>5</v>
      </c>
      <c r="J175" s="1">
        <v>2</v>
      </c>
      <c r="K175" s="1">
        <v>7</v>
      </c>
      <c r="L175" s="2" t="s">
        <v>17</v>
      </c>
      <c r="M175" s="6">
        <v>2024</v>
      </c>
    </row>
    <row r="176" spans="1:13" x14ac:dyDescent="0.3">
      <c r="A176" s="3">
        <v>175</v>
      </c>
      <c r="B176" s="1" t="s">
        <v>146</v>
      </c>
      <c r="C176" s="1" t="s">
        <v>193</v>
      </c>
      <c r="D176" s="1" t="s">
        <v>15</v>
      </c>
      <c r="E176" s="1" t="s">
        <v>16</v>
      </c>
      <c r="F176" s="1">
        <v>7</v>
      </c>
      <c r="G176" s="1">
        <v>4</v>
      </c>
      <c r="H176" s="1">
        <v>4</v>
      </c>
      <c r="I176" s="1">
        <v>4</v>
      </c>
      <c r="J176" s="1">
        <v>0</v>
      </c>
      <c r="K176" s="1">
        <v>4</v>
      </c>
      <c r="L176" s="1" t="s">
        <v>17</v>
      </c>
      <c r="M176" s="5">
        <v>2024</v>
      </c>
    </row>
    <row r="177" spans="1:13" x14ac:dyDescent="0.3">
      <c r="A177" s="3">
        <v>176</v>
      </c>
      <c r="B177" s="2" t="s">
        <v>146</v>
      </c>
      <c r="C177" s="2" t="s">
        <v>194</v>
      </c>
      <c r="D177" s="2" t="s">
        <v>15</v>
      </c>
      <c r="E177" s="2" t="s">
        <v>16</v>
      </c>
      <c r="F177" s="1">
        <v>7</v>
      </c>
      <c r="G177" s="2">
        <v>0</v>
      </c>
      <c r="H177" s="2">
        <v>0</v>
      </c>
      <c r="I177" s="2">
        <v>0</v>
      </c>
      <c r="J177" s="1">
        <v>5</v>
      </c>
      <c r="K177" s="1">
        <v>5</v>
      </c>
      <c r="L177" s="2" t="s">
        <v>17</v>
      </c>
      <c r="M177" s="6">
        <v>2024</v>
      </c>
    </row>
    <row r="178" spans="1:13" x14ac:dyDescent="0.3">
      <c r="A178" s="3">
        <v>177</v>
      </c>
      <c r="B178" s="1" t="s">
        <v>146</v>
      </c>
      <c r="C178" s="1" t="s">
        <v>195</v>
      </c>
      <c r="D178" s="1" t="s">
        <v>15</v>
      </c>
      <c r="E178" s="1" t="s">
        <v>16</v>
      </c>
      <c r="F178" s="1">
        <v>7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 t="s">
        <v>17</v>
      </c>
      <c r="M178" s="5">
        <v>2024</v>
      </c>
    </row>
    <row r="179" spans="1:13" x14ac:dyDescent="0.3">
      <c r="A179" s="3">
        <v>178</v>
      </c>
      <c r="B179" s="2" t="s">
        <v>146</v>
      </c>
      <c r="C179" s="2" t="s">
        <v>196</v>
      </c>
      <c r="D179" s="2" t="s">
        <v>15</v>
      </c>
      <c r="E179" s="2" t="s">
        <v>16</v>
      </c>
      <c r="F179" s="1">
        <v>7</v>
      </c>
      <c r="G179" s="2">
        <v>1</v>
      </c>
      <c r="H179" s="2">
        <v>0</v>
      </c>
      <c r="I179" s="2">
        <v>0</v>
      </c>
      <c r="J179" s="1">
        <v>0</v>
      </c>
      <c r="K179" s="1">
        <v>0</v>
      </c>
      <c r="L179" s="2" t="s">
        <v>17</v>
      </c>
      <c r="M179" s="6">
        <v>2024</v>
      </c>
    </row>
    <row r="180" spans="1:13" x14ac:dyDescent="0.3">
      <c r="A180" s="3">
        <v>179</v>
      </c>
      <c r="B180" s="1" t="s">
        <v>146</v>
      </c>
      <c r="C180" s="1" t="s">
        <v>197</v>
      </c>
      <c r="D180" s="1" t="s">
        <v>15</v>
      </c>
      <c r="E180" s="1" t="s">
        <v>16</v>
      </c>
      <c r="F180" s="1">
        <v>7</v>
      </c>
      <c r="G180" s="1">
        <v>3</v>
      </c>
      <c r="H180" s="1">
        <v>3</v>
      </c>
      <c r="I180" s="1">
        <v>3</v>
      </c>
      <c r="J180" s="1">
        <v>2</v>
      </c>
      <c r="K180" s="1">
        <v>5</v>
      </c>
      <c r="L180" s="1" t="s">
        <v>17</v>
      </c>
      <c r="M180" s="5">
        <v>2024</v>
      </c>
    </row>
    <row r="181" spans="1:13" x14ac:dyDescent="0.3">
      <c r="A181" s="3">
        <v>180</v>
      </c>
      <c r="B181" s="2" t="s">
        <v>146</v>
      </c>
      <c r="C181" s="2" t="s">
        <v>198</v>
      </c>
      <c r="D181" s="2" t="s">
        <v>15</v>
      </c>
      <c r="E181" s="2" t="s">
        <v>16</v>
      </c>
      <c r="F181" s="1">
        <v>7</v>
      </c>
      <c r="G181" s="2">
        <v>0</v>
      </c>
      <c r="H181" s="2">
        <v>0</v>
      </c>
      <c r="I181" s="2">
        <v>0</v>
      </c>
      <c r="J181" s="1">
        <v>0</v>
      </c>
      <c r="K181" s="1">
        <v>0</v>
      </c>
      <c r="L181" s="2" t="s">
        <v>17</v>
      </c>
      <c r="M181" s="6">
        <v>2024</v>
      </c>
    </row>
    <row r="182" spans="1:13" x14ac:dyDescent="0.3">
      <c r="A182" s="3">
        <v>181</v>
      </c>
      <c r="B182" s="1" t="s">
        <v>146</v>
      </c>
      <c r="C182" s="1" t="s">
        <v>199</v>
      </c>
      <c r="D182" s="1" t="s">
        <v>15</v>
      </c>
      <c r="E182" s="1" t="s">
        <v>16</v>
      </c>
      <c r="F182" s="1">
        <v>7</v>
      </c>
      <c r="G182" s="1">
        <v>2</v>
      </c>
      <c r="H182" s="1">
        <v>2</v>
      </c>
      <c r="I182" s="1">
        <v>1</v>
      </c>
      <c r="J182" s="1">
        <v>0</v>
      </c>
      <c r="K182" s="1">
        <v>1</v>
      </c>
      <c r="L182" s="1" t="s">
        <v>17</v>
      </c>
      <c r="M182" s="5">
        <v>2024</v>
      </c>
    </row>
    <row r="183" spans="1:13" x14ac:dyDescent="0.3">
      <c r="A183" s="3">
        <v>182</v>
      </c>
      <c r="B183" s="2" t="s">
        <v>146</v>
      </c>
      <c r="C183" s="2" t="s">
        <v>200</v>
      </c>
      <c r="D183" s="2" t="s">
        <v>15</v>
      </c>
      <c r="E183" s="2" t="s">
        <v>16</v>
      </c>
      <c r="F183" s="1">
        <v>7</v>
      </c>
      <c r="G183" s="2">
        <v>2</v>
      </c>
      <c r="H183" s="2">
        <v>2</v>
      </c>
      <c r="I183" s="2">
        <v>0</v>
      </c>
      <c r="J183" s="1">
        <v>0</v>
      </c>
      <c r="K183" s="1">
        <v>0</v>
      </c>
      <c r="L183" s="2" t="s">
        <v>17</v>
      </c>
      <c r="M183" s="6">
        <v>2024</v>
      </c>
    </row>
    <row r="184" spans="1:13" x14ac:dyDescent="0.3">
      <c r="A184" s="3">
        <v>183</v>
      </c>
      <c r="B184" s="1" t="s">
        <v>146</v>
      </c>
      <c r="C184" s="1" t="s">
        <v>201</v>
      </c>
      <c r="D184" s="1" t="s">
        <v>15</v>
      </c>
      <c r="E184" s="1" t="s">
        <v>16</v>
      </c>
      <c r="F184" s="1">
        <v>7</v>
      </c>
      <c r="G184" s="1">
        <v>9</v>
      </c>
      <c r="H184" s="1">
        <v>9</v>
      </c>
      <c r="I184" s="1">
        <v>7</v>
      </c>
      <c r="J184" s="1">
        <v>1</v>
      </c>
      <c r="K184" s="1">
        <v>8</v>
      </c>
      <c r="L184" s="1" t="s">
        <v>17</v>
      </c>
      <c r="M184" s="5">
        <v>2024</v>
      </c>
    </row>
    <row r="185" spans="1:13" x14ac:dyDescent="0.3">
      <c r="A185" s="3">
        <v>184</v>
      </c>
      <c r="B185" s="2" t="s">
        <v>146</v>
      </c>
      <c r="C185" s="2" t="s">
        <v>202</v>
      </c>
      <c r="D185" s="2" t="s">
        <v>15</v>
      </c>
      <c r="E185" s="2" t="s">
        <v>16</v>
      </c>
      <c r="F185" s="1">
        <v>7</v>
      </c>
      <c r="G185" s="2">
        <v>1</v>
      </c>
      <c r="H185" s="2">
        <v>1</v>
      </c>
      <c r="I185" s="2">
        <v>1</v>
      </c>
      <c r="J185" s="1">
        <v>0</v>
      </c>
      <c r="K185" s="1">
        <v>1</v>
      </c>
      <c r="L185" s="2" t="s">
        <v>17</v>
      </c>
      <c r="M185" s="6">
        <v>2024</v>
      </c>
    </row>
    <row r="186" spans="1:13" x14ac:dyDescent="0.3">
      <c r="A186" s="3">
        <v>185</v>
      </c>
      <c r="B186" s="1" t="s">
        <v>146</v>
      </c>
      <c r="C186" s="1" t="s">
        <v>203</v>
      </c>
      <c r="D186" s="1" t="s">
        <v>15</v>
      </c>
      <c r="E186" s="1" t="s">
        <v>16</v>
      </c>
      <c r="F186" s="1">
        <v>7</v>
      </c>
      <c r="G186" s="1">
        <v>1</v>
      </c>
      <c r="H186" s="1">
        <v>1</v>
      </c>
      <c r="I186" s="1">
        <v>1</v>
      </c>
      <c r="J186" s="1">
        <v>0</v>
      </c>
      <c r="K186" s="1">
        <v>1</v>
      </c>
      <c r="L186" s="1" t="s">
        <v>17</v>
      </c>
      <c r="M186" s="5">
        <v>2024</v>
      </c>
    </row>
    <row r="187" spans="1:13" x14ac:dyDescent="0.3">
      <c r="A187" s="3">
        <v>186</v>
      </c>
      <c r="B187" s="2" t="s">
        <v>146</v>
      </c>
      <c r="C187" s="2" t="s">
        <v>204</v>
      </c>
      <c r="D187" s="2" t="s">
        <v>15</v>
      </c>
      <c r="E187" s="2" t="s">
        <v>16</v>
      </c>
      <c r="F187" s="1">
        <v>7</v>
      </c>
      <c r="G187" s="2">
        <v>3</v>
      </c>
      <c r="H187" s="2">
        <v>3</v>
      </c>
      <c r="I187" s="2">
        <v>3</v>
      </c>
      <c r="J187" s="1">
        <v>1</v>
      </c>
      <c r="K187" s="1">
        <v>4</v>
      </c>
      <c r="L187" s="2" t="s">
        <v>17</v>
      </c>
      <c r="M187" s="6">
        <v>2024</v>
      </c>
    </row>
    <row r="188" spans="1:13" x14ac:dyDescent="0.3">
      <c r="A188" s="3">
        <v>187</v>
      </c>
      <c r="B188" s="1" t="s">
        <v>146</v>
      </c>
      <c r="C188" s="1" t="s">
        <v>205</v>
      </c>
      <c r="D188" s="1" t="s">
        <v>15</v>
      </c>
      <c r="E188" s="1" t="s">
        <v>16</v>
      </c>
      <c r="F188" s="1">
        <v>7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 t="s">
        <v>17</v>
      </c>
      <c r="M188" s="5">
        <v>2024</v>
      </c>
    </row>
    <row r="189" spans="1:13" x14ac:dyDescent="0.3">
      <c r="A189" s="3">
        <v>188</v>
      </c>
      <c r="B189" s="2" t="s">
        <v>146</v>
      </c>
      <c r="C189" s="2" t="s">
        <v>206</v>
      </c>
      <c r="D189" s="2" t="s">
        <v>15</v>
      </c>
      <c r="E189" s="2" t="s">
        <v>16</v>
      </c>
      <c r="F189" s="1">
        <v>7</v>
      </c>
      <c r="G189" s="2">
        <v>1</v>
      </c>
      <c r="H189" s="2">
        <v>1</v>
      </c>
      <c r="I189" s="2">
        <v>1</v>
      </c>
      <c r="J189" s="1">
        <v>0</v>
      </c>
      <c r="K189" s="1">
        <v>1</v>
      </c>
      <c r="L189" s="2" t="s">
        <v>17</v>
      </c>
      <c r="M189" s="6">
        <v>2024</v>
      </c>
    </row>
    <row r="190" spans="1:13" x14ac:dyDescent="0.3">
      <c r="A190" s="3">
        <v>189</v>
      </c>
      <c r="B190" s="1" t="s">
        <v>146</v>
      </c>
      <c r="C190" s="1" t="s">
        <v>207</v>
      </c>
      <c r="D190" s="1" t="s">
        <v>15</v>
      </c>
      <c r="E190" s="1" t="s">
        <v>16</v>
      </c>
      <c r="F190" s="1">
        <v>7</v>
      </c>
      <c r="G190" s="1">
        <v>9</v>
      </c>
      <c r="H190" s="1">
        <v>9</v>
      </c>
      <c r="I190" s="1">
        <v>9</v>
      </c>
      <c r="J190" s="1">
        <v>0</v>
      </c>
      <c r="K190" s="1">
        <v>9</v>
      </c>
      <c r="L190" s="1" t="s">
        <v>17</v>
      </c>
      <c r="M190" s="5">
        <v>2024</v>
      </c>
    </row>
    <row r="191" spans="1:13" x14ac:dyDescent="0.3">
      <c r="A191" s="3">
        <v>190</v>
      </c>
      <c r="B191" s="2" t="s">
        <v>146</v>
      </c>
      <c r="C191" s="2" t="s">
        <v>208</v>
      </c>
      <c r="D191" s="2" t="s">
        <v>15</v>
      </c>
      <c r="E191" s="2" t="s">
        <v>16</v>
      </c>
      <c r="F191" s="1">
        <v>7</v>
      </c>
      <c r="G191" s="2">
        <v>3</v>
      </c>
      <c r="H191" s="2">
        <v>3</v>
      </c>
      <c r="I191" s="2">
        <v>3</v>
      </c>
      <c r="J191" s="1">
        <v>0</v>
      </c>
      <c r="K191" s="1">
        <v>3</v>
      </c>
      <c r="L191" s="2" t="s">
        <v>17</v>
      </c>
      <c r="M191" s="6">
        <v>2024</v>
      </c>
    </row>
    <row r="192" spans="1:13" x14ac:dyDescent="0.3">
      <c r="A192" s="3">
        <v>191</v>
      </c>
      <c r="B192" s="1" t="s">
        <v>146</v>
      </c>
      <c r="C192" s="1" t="s">
        <v>209</v>
      </c>
      <c r="D192" s="1" t="s">
        <v>15</v>
      </c>
      <c r="E192" s="1" t="s">
        <v>16</v>
      </c>
      <c r="F192" s="1">
        <v>7</v>
      </c>
      <c r="G192" s="1">
        <v>1</v>
      </c>
      <c r="H192" s="1">
        <v>1</v>
      </c>
      <c r="I192" s="1">
        <v>1</v>
      </c>
      <c r="J192" s="1">
        <v>0</v>
      </c>
      <c r="K192" s="1">
        <v>1</v>
      </c>
      <c r="L192" s="1" t="s">
        <v>17</v>
      </c>
      <c r="M192" s="5">
        <v>2024</v>
      </c>
    </row>
    <row r="193" spans="1:13" x14ac:dyDescent="0.3">
      <c r="A193" s="3">
        <v>192</v>
      </c>
      <c r="B193" s="2" t="s">
        <v>146</v>
      </c>
      <c r="C193" s="2" t="s">
        <v>210</v>
      </c>
      <c r="D193" s="2" t="s">
        <v>15</v>
      </c>
      <c r="E193" s="2" t="s">
        <v>16</v>
      </c>
      <c r="F193" s="1">
        <v>7</v>
      </c>
      <c r="G193" s="2">
        <v>7</v>
      </c>
      <c r="H193" s="2">
        <v>7</v>
      </c>
      <c r="I193" s="2">
        <v>7</v>
      </c>
      <c r="J193" s="1">
        <v>0</v>
      </c>
      <c r="K193" s="1">
        <v>7</v>
      </c>
      <c r="L193" s="2" t="s">
        <v>17</v>
      </c>
      <c r="M193" s="6">
        <v>2024</v>
      </c>
    </row>
    <row r="194" spans="1:13" x14ac:dyDescent="0.3">
      <c r="A194" s="3">
        <v>193</v>
      </c>
      <c r="B194" s="1" t="s">
        <v>146</v>
      </c>
      <c r="C194" s="1" t="s">
        <v>211</v>
      </c>
      <c r="D194" s="1" t="s">
        <v>15</v>
      </c>
      <c r="E194" s="1" t="s">
        <v>16</v>
      </c>
      <c r="F194" s="1">
        <v>7</v>
      </c>
      <c r="G194" s="1">
        <v>3</v>
      </c>
      <c r="H194" s="1">
        <v>2</v>
      </c>
      <c r="I194" s="1">
        <v>0</v>
      </c>
      <c r="J194" s="1">
        <v>0</v>
      </c>
      <c r="K194" s="1">
        <v>0</v>
      </c>
      <c r="L194" s="1" t="s">
        <v>17</v>
      </c>
      <c r="M194" s="5">
        <v>2024</v>
      </c>
    </row>
    <row r="195" spans="1:13" x14ac:dyDescent="0.3">
      <c r="A195" s="3">
        <v>194</v>
      </c>
      <c r="B195" s="2" t="s">
        <v>146</v>
      </c>
      <c r="C195" s="2" t="s">
        <v>212</v>
      </c>
      <c r="D195" s="2" t="s">
        <v>15</v>
      </c>
      <c r="E195" s="2" t="s">
        <v>16</v>
      </c>
      <c r="F195" s="1">
        <v>7</v>
      </c>
      <c r="G195" s="2">
        <v>1</v>
      </c>
      <c r="H195" s="2">
        <v>1</v>
      </c>
      <c r="I195" s="2">
        <v>1</v>
      </c>
      <c r="J195" s="1">
        <v>5</v>
      </c>
      <c r="K195" s="1">
        <v>6</v>
      </c>
      <c r="L195" s="2" t="s">
        <v>17</v>
      </c>
      <c r="M195" s="6">
        <v>2024</v>
      </c>
    </row>
    <row r="196" spans="1:13" x14ac:dyDescent="0.3">
      <c r="A196" s="3">
        <v>195</v>
      </c>
      <c r="B196" s="1" t="s">
        <v>146</v>
      </c>
      <c r="C196" s="1" t="s">
        <v>213</v>
      </c>
      <c r="D196" s="1" t="s">
        <v>15</v>
      </c>
      <c r="E196" s="1" t="s">
        <v>16</v>
      </c>
      <c r="F196" s="1">
        <v>7</v>
      </c>
      <c r="G196" s="1">
        <v>2</v>
      </c>
      <c r="H196" s="1">
        <v>2</v>
      </c>
      <c r="I196" s="1">
        <v>1</v>
      </c>
      <c r="J196" s="1">
        <v>1</v>
      </c>
      <c r="K196" s="1">
        <v>2</v>
      </c>
      <c r="L196" s="1" t="s">
        <v>17</v>
      </c>
      <c r="M196" s="5">
        <v>2024</v>
      </c>
    </row>
    <row r="197" spans="1:13" x14ac:dyDescent="0.3">
      <c r="A197" s="3">
        <v>196</v>
      </c>
      <c r="B197" s="2" t="s">
        <v>146</v>
      </c>
      <c r="C197" s="2" t="s">
        <v>214</v>
      </c>
      <c r="D197" s="2" t="s">
        <v>15</v>
      </c>
      <c r="E197" s="2" t="s">
        <v>16</v>
      </c>
      <c r="F197" s="1">
        <v>7</v>
      </c>
      <c r="G197" s="2">
        <v>2</v>
      </c>
      <c r="H197" s="2">
        <v>2</v>
      </c>
      <c r="I197" s="2">
        <v>2</v>
      </c>
      <c r="J197" s="1">
        <v>1</v>
      </c>
      <c r="K197" s="1">
        <v>3</v>
      </c>
      <c r="L197" s="2" t="s">
        <v>17</v>
      </c>
      <c r="M197" s="6">
        <v>2024</v>
      </c>
    </row>
    <row r="198" spans="1:13" x14ac:dyDescent="0.3">
      <c r="A198" s="3">
        <v>197</v>
      </c>
      <c r="B198" s="1" t="s">
        <v>146</v>
      </c>
      <c r="C198" s="1" t="s">
        <v>215</v>
      </c>
      <c r="D198" s="1" t="s">
        <v>15</v>
      </c>
      <c r="E198" s="1" t="s">
        <v>16</v>
      </c>
      <c r="F198" s="1">
        <v>7</v>
      </c>
      <c r="G198" s="1">
        <v>7</v>
      </c>
      <c r="H198" s="1">
        <v>7</v>
      </c>
      <c r="I198" s="1">
        <v>7</v>
      </c>
      <c r="J198" s="1">
        <v>0</v>
      </c>
      <c r="K198" s="1">
        <v>7</v>
      </c>
      <c r="L198" s="1" t="s">
        <v>17</v>
      </c>
      <c r="M198" s="5">
        <v>2024</v>
      </c>
    </row>
    <row r="199" spans="1:13" x14ac:dyDescent="0.3">
      <c r="A199" s="3">
        <v>198</v>
      </c>
      <c r="B199" s="2" t="s">
        <v>146</v>
      </c>
      <c r="C199" s="2" t="s">
        <v>216</v>
      </c>
      <c r="D199" s="2" t="s">
        <v>15</v>
      </c>
      <c r="E199" s="2" t="s">
        <v>16</v>
      </c>
      <c r="F199" s="1">
        <v>7</v>
      </c>
      <c r="G199" s="2">
        <v>1</v>
      </c>
      <c r="H199" s="2">
        <v>1</v>
      </c>
      <c r="I199" s="2">
        <v>1</v>
      </c>
      <c r="J199" s="1">
        <v>0</v>
      </c>
      <c r="K199" s="1">
        <v>1</v>
      </c>
      <c r="L199" s="2" t="s">
        <v>17</v>
      </c>
      <c r="M199" s="6">
        <v>2024</v>
      </c>
    </row>
    <row r="200" spans="1:13" x14ac:dyDescent="0.3">
      <c r="A200" s="3">
        <v>199</v>
      </c>
      <c r="B200" s="1" t="s">
        <v>146</v>
      </c>
      <c r="C200" s="1" t="s">
        <v>217</v>
      </c>
      <c r="D200" s="1" t="s">
        <v>15</v>
      </c>
      <c r="E200" s="1" t="s">
        <v>16</v>
      </c>
      <c r="F200" s="1">
        <v>7</v>
      </c>
      <c r="G200" s="1">
        <v>6</v>
      </c>
      <c r="H200" s="1">
        <v>6</v>
      </c>
      <c r="I200" s="1">
        <v>6</v>
      </c>
      <c r="J200" s="1">
        <v>0</v>
      </c>
      <c r="K200" s="1">
        <v>6</v>
      </c>
      <c r="L200" s="1" t="s">
        <v>17</v>
      </c>
      <c r="M200" s="5">
        <v>2024</v>
      </c>
    </row>
    <row r="201" spans="1:13" x14ac:dyDescent="0.3">
      <c r="A201" s="3">
        <v>200</v>
      </c>
      <c r="B201" s="2" t="s">
        <v>218</v>
      </c>
      <c r="C201" s="2" t="s">
        <v>219</v>
      </c>
      <c r="D201" s="2" t="s">
        <v>15</v>
      </c>
      <c r="E201" s="2" t="s">
        <v>16</v>
      </c>
      <c r="F201" s="1">
        <v>7</v>
      </c>
      <c r="G201" s="2">
        <v>0</v>
      </c>
      <c r="H201" s="2">
        <v>0</v>
      </c>
      <c r="I201" s="2">
        <v>0</v>
      </c>
      <c r="J201" s="1">
        <v>0</v>
      </c>
      <c r="K201" s="1">
        <v>0</v>
      </c>
      <c r="L201" s="2" t="s">
        <v>17</v>
      </c>
      <c r="M201" s="6">
        <v>2024</v>
      </c>
    </row>
    <row r="202" spans="1:13" x14ac:dyDescent="0.3">
      <c r="A202" s="3">
        <v>201</v>
      </c>
      <c r="B202" s="1" t="s">
        <v>218</v>
      </c>
      <c r="C202" s="1" t="s">
        <v>220</v>
      </c>
      <c r="D202" s="1" t="s">
        <v>15</v>
      </c>
      <c r="E202" s="1" t="s">
        <v>16</v>
      </c>
      <c r="F202" s="1">
        <v>7</v>
      </c>
      <c r="G202" s="1">
        <v>1</v>
      </c>
      <c r="H202" s="1">
        <v>1</v>
      </c>
      <c r="I202" s="1">
        <v>1</v>
      </c>
      <c r="J202" s="1">
        <v>0</v>
      </c>
      <c r="K202" s="1">
        <v>1</v>
      </c>
      <c r="L202" s="1" t="s">
        <v>17</v>
      </c>
      <c r="M202" s="5">
        <v>2024</v>
      </c>
    </row>
    <row r="203" spans="1:13" x14ac:dyDescent="0.3">
      <c r="A203" s="3">
        <v>202</v>
      </c>
      <c r="B203" s="2" t="s">
        <v>218</v>
      </c>
      <c r="C203" s="2" t="s">
        <v>221</v>
      </c>
      <c r="D203" s="2" t="s">
        <v>15</v>
      </c>
      <c r="E203" s="2" t="s">
        <v>16</v>
      </c>
      <c r="F203" s="1">
        <v>7</v>
      </c>
      <c r="G203" s="2">
        <v>0</v>
      </c>
      <c r="H203" s="2">
        <v>0</v>
      </c>
      <c r="I203" s="2">
        <v>0</v>
      </c>
      <c r="J203" s="1">
        <v>0</v>
      </c>
      <c r="K203" s="1">
        <v>0</v>
      </c>
      <c r="L203" s="2" t="s">
        <v>17</v>
      </c>
      <c r="M203" s="6">
        <v>2024</v>
      </c>
    </row>
    <row r="204" spans="1:13" x14ac:dyDescent="0.3">
      <c r="A204" s="3">
        <v>203</v>
      </c>
      <c r="B204" s="1" t="s">
        <v>218</v>
      </c>
      <c r="C204" s="1" t="s">
        <v>222</v>
      </c>
      <c r="D204" s="1" t="s">
        <v>15</v>
      </c>
      <c r="E204" s="1" t="s">
        <v>16</v>
      </c>
      <c r="F204" s="1">
        <v>7</v>
      </c>
      <c r="G204" s="1">
        <v>1</v>
      </c>
      <c r="H204" s="1">
        <v>1</v>
      </c>
      <c r="I204" s="1">
        <v>0</v>
      </c>
      <c r="J204" s="1">
        <v>1</v>
      </c>
      <c r="K204" s="1">
        <v>1</v>
      </c>
      <c r="L204" s="1" t="s">
        <v>17</v>
      </c>
      <c r="M204" s="5">
        <v>2024</v>
      </c>
    </row>
    <row r="205" spans="1:13" x14ac:dyDescent="0.3">
      <c r="A205" s="3">
        <v>204</v>
      </c>
      <c r="B205" s="2" t="s">
        <v>218</v>
      </c>
      <c r="C205" s="2" t="s">
        <v>223</v>
      </c>
      <c r="D205" s="2" t="s">
        <v>15</v>
      </c>
      <c r="E205" s="2" t="s">
        <v>16</v>
      </c>
      <c r="F205" s="1">
        <v>7</v>
      </c>
      <c r="G205" s="2">
        <v>2</v>
      </c>
      <c r="H205" s="2">
        <v>2</v>
      </c>
      <c r="I205" s="2">
        <v>2</v>
      </c>
      <c r="J205" s="1">
        <v>0</v>
      </c>
      <c r="K205" s="1">
        <v>2</v>
      </c>
      <c r="L205" s="2" t="s">
        <v>17</v>
      </c>
      <c r="M205" s="6">
        <v>2024</v>
      </c>
    </row>
    <row r="206" spans="1:13" x14ac:dyDescent="0.3">
      <c r="A206" s="3">
        <v>205</v>
      </c>
      <c r="B206" s="1" t="s">
        <v>218</v>
      </c>
      <c r="C206" s="1" t="s">
        <v>224</v>
      </c>
      <c r="D206" s="1" t="s">
        <v>15</v>
      </c>
      <c r="E206" s="1" t="s">
        <v>16</v>
      </c>
      <c r="F206" s="1">
        <v>7</v>
      </c>
      <c r="G206" s="1">
        <v>2</v>
      </c>
      <c r="H206" s="1">
        <v>2</v>
      </c>
      <c r="I206" s="1">
        <v>2</v>
      </c>
      <c r="J206" s="1">
        <v>0</v>
      </c>
      <c r="K206" s="1">
        <v>2</v>
      </c>
      <c r="L206" s="1" t="s">
        <v>17</v>
      </c>
      <c r="M206" s="5">
        <v>2024</v>
      </c>
    </row>
    <row r="207" spans="1:13" x14ac:dyDescent="0.3">
      <c r="A207" s="3">
        <v>206</v>
      </c>
      <c r="B207" s="2" t="s">
        <v>218</v>
      </c>
      <c r="C207" s="2" t="s">
        <v>225</v>
      </c>
      <c r="D207" s="2" t="s">
        <v>15</v>
      </c>
      <c r="E207" s="2" t="s">
        <v>16</v>
      </c>
      <c r="F207" s="1">
        <v>7</v>
      </c>
      <c r="G207" s="2">
        <v>0</v>
      </c>
      <c r="H207" s="2">
        <v>0</v>
      </c>
      <c r="I207" s="2">
        <v>0</v>
      </c>
      <c r="J207" s="1">
        <v>0</v>
      </c>
      <c r="K207" s="1">
        <v>0</v>
      </c>
      <c r="L207" s="2" t="s">
        <v>17</v>
      </c>
      <c r="M207" s="6">
        <v>2024</v>
      </c>
    </row>
    <row r="208" spans="1:13" x14ac:dyDescent="0.3">
      <c r="A208" s="3">
        <v>207</v>
      </c>
      <c r="B208" s="1" t="s">
        <v>218</v>
      </c>
      <c r="C208" s="1" t="s">
        <v>226</v>
      </c>
      <c r="D208" s="1" t="s">
        <v>15</v>
      </c>
      <c r="E208" s="1" t="s">
        <v>16</v>
      </c>
      <c r="F208" s="1">
        <v>7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 t="s">
        <v>17</v>
      </c>
      <c r="M208" s="5">
        <v>2024</v>
      </c>
    </row>
    <row r="209" spans="1:13" x14ac:dyDescent="0.3">
      <c r="A209" s="3">
        <v>208</v>
      </c>
      <c r="B209" s="2" t="s">
        <v>218</v>
      </c>
      <c r="C209" s="2" t="s">
        <v>227</v>
      </c>
      <c r="D209" s="2" t="s">
        <v>15</v>
      </c>
      <c r="E209" s="2" t="s">
        <v>16</v>
      </c>
      <c r="F209" s="1">
        <v>7</v>
      </c>
      <c r="G209" s="2">
        <v>0</v>
      </c>
      <c r="H209" s="2">
        <v>0</v>
      </c>
      <c r="I209" s="2">
        <v>0</v>
      </c>
      <c r="J209" s="1">
        <v>0</v>
      </c>
      <c r="K209" s="1">
        <v>0</v>
      </c>
      <c r="L209" s="2" t="s">
        <v>17</v>
      </c>
      <c r="M209" s="6">
        <v>2024</v>
      </c>
    </row>
    <row r="210" spans="1:13" x14ac:dyDescent="0.3">
      <c r="A210" s="3">
        <v>209</v>
      </c>
      <c r="B210" s="1" t="s">
        <v>218</v>
      </c>
      <c r="C210" s="1" t="s">
        <v>228</v>
      </c>
      <c r="D210" s="1" t="s">
        <v>15</v>
      </c>
      <c r="E210" s="1" t="s">
        <v>16</v>
      </c>
      <c r="F210" s="1">
        <v>7</v>
      </c>
      <c r="G210" s="1">
        <v>3</v>
      </c>
      <c r="H210" s="1">
        <v>3</v>
      </c>
      <c r="I210" s="1">
        <v>0</v>
      </c>
      <c r="J210" s="1">
        <v>0</v>
      </c>
      <c r="K210" s="1">
        <v>0</v>
      </c>
      <c r="L210" s="1" t="s">
        <v>17</v>
      </c>
      <c r="M210" s="5">
        <v>2024</v>
      </c>
    </row>
    <row r="211" spans="1:13" x14ac:dyDescent="0.3">
      <c r="A211" s="3">
        <v>210</v>
      </c>
      <c r="B211" s="2" t="s">
        <v>218</v>
      </c>
      <c r="C211" s="2" t="s">
        <v>229</v>
      </c>
      <c r="D211" s="2" t="s">
        <v>15</v>
      </c>
      <c r="E211" s="2" t="s">
        <v>16</v>
      </c>
      <c r="F211" s="1">
        <v>7</v>
      </c>
      <c r="G211" s="2">
        <v>1</v>
      </c>
      <c r="H211" s="2">
        <v>1</v>
      </c>
      <c r="I211" s="2">
        <v>1</v>
      </c>
      <c r="J211" s="1">
        <v>0</v>
      </c>
      <c r="K211" s="1">
        <v>1</v>
      </c>
      <c r="L211" s="2" t="s">
        <v>17</v>
      </c>
      <c r="M211" s="6">
        <v>2024</v>
      </c>
    </row>
    <row r="212" spans="1:13" x14ac:dyDescent="0.3">
      <c r="A212" s="3">
        <v>211</v>
      </c>
      <c r="B212" s="1" t="s">
        <v>218</v>
      </c>
      <c r="C212" s="1" t="s">
        <v>230</v>
      </c>
      <c r="D212" s="1" t="s">
        <v>15</v>
      </c>
      <c r="E212" s="1" t="s">
        <v>16</v>
      </c>
      <c r="F212" s="1">
        <v>7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 t="s">
        <v>17</v>
      </c>
      <c r="M212" s="5">
        <v>2024</v>
      </c>
    </row>
    <row r="213" spans="1:13" x14ac:dyDescent="0.3">
      <c r="A213" s="3">
        <v>212</v>
      </c>
      <c r="B213" s="2" t="s">
        <v>218</v>
      </c>
      <c r="C213" s="2" t="s">
        <v>231</v>
      </c>
      <c r="D213" s="2" t="s">
        <v>15</v>
      </c>
      <c r="E213" s="2" t="s">
        <v>16</v>
      </c>
      <c r="F213" s="1">
        <v>7</v>
      </c>
      <c r="G213" s="2">
        <v>2</v>
      </c>
      <c r="H213" s="2">
        <v>2</v>
      </c>
      <c r="I213" s="2">
        <v>2</v>
      </c>
      <c r="J213" s="1">
        <v>0</v>
      </c>
      <c r="K213" s="1">
        <v>2</v>
      </c>
      <c r="L213" s="2" t="s">
        <v>17</v>
      </c>
      <c r="M213" s="6">
        <v>2024</v>
      </c>
    </row>
    <row r="214" spans="1:13" x14ac:dyDescent="0.3">
      <c r="A214" s="3">
        <v>213</v>
      </c>
      <c r="B214" s="1" t="s">
        <v>218</v>
      </c>
      <c r="C214" s="1" t="s">
        <v>232</v>
      </c>
      <c r="D214" s="1" t="s">
        <v>15</v>
      </c>
      <c r="E214" s="1" t="s">
        <v>16</v>
      </c>
      <c r="F214" s="1">
        <v>7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 t="s">
        <v>17</v>
      </c>
      <c r="M214" s="5">
        <v>2024</v>
      </c>
    </row>
    <row r="215" spans="1:13" x14ac:dyDescent="0.3">
      <c r="A215" s="3">
        <v>214</v>
      </c>
      <c r="B215" s="2" t="s">
        <v>218</v>
      </c>
      <c r="C215" s="2" t="s">
        <v>233</v>
      </c>
      <c r="D215" s="2" t="s">
        <v>15</v>
      </c>
      <c r="E215" s="2" t="s">
        <v>16</v>
      </c>
      <c r="F215" s="1">
        <v>7</v>
      </c>
      <c r="G215" s="2">
        <v>0</v>
      </c>
      <c r="H215" s="2">
        <v>0</v>
      </c>
      <c r="I215" s="2">
        <v>0</v>
      </c>
      <c r="J215" s="1">
        <v>0</v>
      </c>
      <c r="K215" s="1">
        <v>0</v>
      </c>
      <c r="L215" s="2" t="s">
        <v>17</v>
      </c>
      <c r="M215" s="6">
        <v>2024</v>
      </c>
    </row>
    <row r="216" spans="1:13" x14ac:dyDescent="0.3">
      <c r="A216" s="3">
        <v>215</v>
      </c>
      <c r="B216" s="1" t="s">
        <v>218</v>
      </c>
      <c r="C216" s="1" t="s">
        <v>234</v>
      </c>
      <c r="D216" s="1" t="s">
        <v>15</v>
      </c>
      <c r="E216" s="1" t="s">
        <v>16</v>
      </c>
      <c r="F216" s="1">
        <v>7</v>
      </c>
      <c r="G216" s="1">
        <v>2</v>
      </c>
      <c r="H216" s="1">
        <v>2</v>
      </c>
      <c r="I216" s="1">
        <v>1</v>
      </c>
      <c r="J216" s="1">
        <v>1</v>
      </c>
      <c r="K216" s="1">
        <v>2</v>
      </c>
      <c r="L216" s="1" t="s">
        <v>17</v>
      </c>
      <c r="M216" s="5">
        <v>2024</v>
      </c>
    </row>
    <row r="217" spans="1:13" x14ac:dyDescent="0.3">
      <c r="A217" s="3">
        <v>216</v>
      </c>
      <c r="B217" s="2" t="s">
        <v>218</v>
      </c>
      <c r="C217" s="2" t="s">
        <v>235</v>
      </c>
      <c r="D217" s="2" t="s">
        <v>15</v>
      </c>
      <c r="E217" s="2" t="s">
        <v>16</v>
      </c>
      <c r="F217" s="1">
        <v>7</v>
      </c>
      <c r="G217" s="2">
        <v>2</v>
      </c>
      <c r="H217" s="2">
        <v>2</v>
      </c>
      <c r="I217" s="2">
        <v>2</v>
      </c>
      <c r="J217" s="1">
        <v>0</v>
      </c>
      <c r="K217" s="1">
        <v>2</v>
      </c>
      <c r="L217" s="2" t="s">
        <v>17</v>
      </c>
      <c r="M217" s="6">
        <v>2024</v>
      </c>
    </row>
    <row r="218" spans="1:13" x14ac:dyDescent="0.3">
      <c r="A218" s="3">
        <v>217</v>
      </c>
      <c r="B218" s="1" t="s">
        <v>218</v>
      </c>
      <c r="C218" s="1" t="s">
        <v>236</v>
      </c>
      <c r="D218" s="1" t="s">
        <v>15</v>
      </c>
      <c r="E218" s="1" t="s">
        <v>16</v>
      </c>
      <c r="F218" s="1">
        <v>7</v>
      </c>
      <c r="G218" s="1">
        <v>4</v>
      </c>
      <c r="H218" s="1">
        <v>4</v>
      </c>
      <c r="I218" s="1">
        <v>4</v>
      </c>
      <c r="J218" s="1">
        <v>0</v>
      </c>
      <c r="K218" s="1">
        <v>4</v>
      </c>
      <c r="L218" s="1" t="s">
        <v>17</v>
      </c>
      <c r="M218" s="5">
        <v>2024</v>
      </c>
    </row>
    <row r="219" spans="1:13" x14ac:dyDescent="0.3">
      <c r="A219" s="3">
        <v>218</v>
      </c>
      <c r="B219" s="2" t="s">
        <v>218</v>
      </c>
      <c r="C219" s="2" t="s">
        <v>237</v>
      </c>
      <c r="D219" s="2" t="s">
        <v>15</v>
      </c>
      <c r="E219" s="2" t="s">
        <v>16</v>
      </c>
      <c r="F219" s="1">
        <v>7</v>
      </c>
      <c r="G219" s="2">
        <v>1</v>
      </c>
      <c r="H219" s="2">
        <v>0</v>
      </c>
      <c r="I219" s="2">
        <v>0</v>
      </c>
      <c r="J219" s="1">
        <v>0</v>
      </c>
      <c r="K219" s="1">
        <v>0</v>
      </c>
      <c r="L219" s="2" t="s">
        <v>17</v>
      </c>
      <c r="M219" s="6">
        <v>2024</v>
      </c>
    </row>
    <row r="220" spans="1:13" x14ac:dyDescent="0.3">
      <c r="A220" s="3">
        <v>219</v>
      </c>
      <c r="B220" s="1" t="s">
        <v>218</v>
      </c>
      <c r="C220" s="1" t="s">
        <v>238</v>
      </c>
      <c r="D220" s="1" t="s">
        <v>15</v>
      </c>
      <c r="E220" s="1" t="s">
        <v>16</v>
      </c>
      <c r="F220" s="1">
        <v>7</v>
      </c>
      <c r="G220" s="1">
        <v>2</v>
      </c>
      <c r="H220" s="1">
        <v>2</v>
      </c>
      <c r="I220" s="1">
        <v>2</v>
      </c>
      <c r="J220" s="1">
        <v>0</v>
      </c>
      <c r="K220" s="1">
        <v>2</v>
      </c>
      <c r="L220" s="1" t="s">
        <v>17</v>
      </c>
      <c r="M220" s="5">
        <v>2024</v>
      </c>
    </row>
    <row r="221" spans="1:13" x14ac:dyDescent="0.3">
      <c r="A221" s="3">
        <v>220</v>
      </c>
      <c r="B221" s="2" t="s">
        <v>218</v>
      </c>
      <c r="C221" s="2" t="s">
        <v>239</v>
      </c>
      <c r="D221" s="2" t="s">
        <v>15</v>
      </c>
      <c r="E221" s="2" t="s">
        <v>16</v>
      </c>
      <c r="F221" s="1">
        <v>7</v>
      </c>
      <c r="G221" s="2">
        <v>0</v>
      </c>
      <c r="H221" s="2">
        <v>0</v>
      </c>
      <c r="I221" s="2">
        <v>0</v>
      </c>
      <c r="J221" s="1">
        <v>3</v>
      </c>
      <c r="K221" s="1">
        <v>3</v>
      </c>
      <c r="L221" s="2" t="s">
        <v>17</v>
      </c>
      <c r="M221" s="6">
        <v>2024</v>
      </c>
    </row>
    <row r="222" spans="1:13" x14ac:dyDescent="0.3">
      <c r="A222" s="3">
        <v>221</v>
      </c>
      <c r="B222" s="1" t="s">
        <v>218</v>
      </c>
      <c r="C222" s="1" t="s">
        <v>240</v>
      </c>
      <c r="D222" s="1" t="s">
        <v>15</v>
      </c>
      <c r="E222" s="1" t="s">
        <v>16</v>
      </c>
      <c r="F222" s="1">
        <v>7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 t="s">
        <v>17</v>
      </c>
      <c r="M222" s="5">
        <v>2024</v>
      </c>
    </row>
    <row r="223" spans="1:13" x14ac:dyDescent="0.3">
      <c r="A223" s="3">
        <v>222</v>
      </c>
      <c r="B223" s="2" t="s">
        <v>218</v>
      </c>
      <c r="C223" s="2" t="s">
        <v>241</v>
      </c>
      <c r="D223" s="2" t="s">
        <v>15</v>
      </c>
      <c r="E223" s="2" t="s">
        <v>16</v>
      </c>
      <c r="F223" s="1">
        <v>7</v>
      </c>
      <c r="G223" s="2">
        <v>0</v>
      </c>
      <c r="H223" s="2">
        <v>0</v>
      </c>
      <c r="I223" s="2">
        <v>0</v>
      </c>
      <c r="J223" s="1">
        <v>0</v>
      </c>
      <c r="K223" s="1">
        <v>0</v>
      </c>
      <c r="L223" s="2" t="s">
        <v>17</v>
      </c>
      <c r="M223" s="6">
        <v>2024</v>
      </c>
    </row>
    <row r="224" spans="1:13" x14ac:dyDescent="0.3">
      <c r="A224" s="3">
        <v>223</v>
      </c>
      <c r="B224" s="1" t="s">
        <v>218</v>
      </c>
      <c r="C224" s="1" t="s">
        <v>242</v>
      </c>
      <c r="D224" s="1" t="s">
        <v>15</v>
      </c>
      <c r="E224" s="1" t="s">
        <v>16</v>
      </c>
      <c r="F224" s="1">
        <v>7</v>
      </c>
      <c r="G224" s="1">
        <v>4</v>
      </c>
      <c r="H224" s="1">
        <v>4</v>
      </c>
      <c r="I224" s="1">
        <v>4</v>
      </c>
      <c r="J224" s="1">
        <v>0</v>
      </c>
      <c r="K224" s="1">
        <v>4</v>
      </c>
      <c r="L224" s="1" t="s">
        <v>17</v>
      </c>
      <c r="M224" s="5">
        <v>2024</v>
      </c>
    </row>
    <row r="225" spans="1:13" x14ac:dyDescent="0.3">
      <c r="A225" s="3">
        <v>224</v>
      </c>
      <c r="B225" s="2" t="s">
        <v>218</v>
      </c>
      <c r="C225" s="2" t="s">
        <v>243</v>
      </c>
      <c r="D225" s="2" t="s">
        <v>15</v>
      </c>
      <c r="E225" s="2" t="s">
        <v>16</v>
      </c>
      <c r="F225" s="1">
        <v>7</v>
      </c>
      <c r="G225" s="2">
        <v>0</v>
      </c>
      <c r="H225" s="2">
        <v>0</v>
      </c>
      <c r="I225" s="2">
        <v>0</v>
      </c>
      <c r="J225" s="1">
        <v>0</v>
      </c>
      <c r="K225" s="1">
        <v>0</v>
      </c>
      <c r="L225" s="2" t="s">
        <v>17</v>
      </c>
      <c r="M225" s="6">
        <v>2024</v>
      </c>
    </row>
    <row r="226" spans="1:13" x14ac:dyDescent="0.3">
      <c r="A226" s="3">
        <v>225</v>
      </c>
      <c r="B226" s="1" t="s">
        <v>218</v>
      </c>
      <c r="C226" s="1" t="s">
        <v>244</v>
      </c>
      <c r="D226" s="1" t="s">
        <v>15</v>
      </c>
      <c r="E226" s="1" t="s">
        <v>16</v>
      </c>
      <c r="F226" s="1">
        <v>7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 t="s">
        <v>17</v>
      </c>
      <c r="M226" s="5">
        <v>2024</v>
      </c>
    </row>
    <row r="227" spans="1:13" x14ac:dyDescent="0.3">
      <c r="A227" s="3">
        <v>226</v>
      </c>
      <c r="B227" s="2" t="s">
        <v>218</v>
      </c>
      <c r="C227" s="2" t="s">
        <v>245</v>
      </c>
      <c r="D227" s="2" t="s">
        <v>15</v>
      </c>
      <c r="E227" s="2" t="s">
        <v>16</v>
      </c>
      <c r="F227" s="1">
        <v>7</v>
      </c>
      <c r="G227" s="2">
        <v>0</v>
      </c>
      <c r="H227" s="2">
        <v>0</v>
      </c>
      <c r="I227" s="2">
        <v>0</v>
      </c>
      <c r="J227" s="1">
        <v>0</v>
      </c>
      <c r="K227" s="1">
        <v>0</v>
      </c>
      <c r="L227" s="2" t="s">
        <v>17</v>
      </c>
      <c r="M227" s="6">
        <v>2024</v>
      </c>
    </row>
    <row r="228" spans="1:13" x14ac:dyDescent="0.3">
      <c r="A228" s="3">
        <v>227</v>
      </c>
      <c r="B228" s="1" t="s">
        <v>218</v>
      </c>
      <c r="C228" s="1" t="s">
        <v>246</v>
      </c>
      <c r="D228" s="1" t="s">
        <v>15</v>
      </c>
      <c r="E228" s="1" t="s">
        <v>16</v>
      </c>
      <c r="F228" s="1">
        <v>7</v>
      </c>
      <c r="G228" s="1">
        <v>2</v>
      </c>
      <c r="H228" s="1">
        <v>2</v>
      </c>
      <c r="I228" s="1">
        <v>2</v>
      </c>
      <c r="J228" s="1">
        <v>0</v>
      </c>
      <c r="K228" s="1">
        <v>2</v>
      </c>
      <c r="L228" s="1" t="s">
        <v>17</v>
      </c>
      <c r="M228" s="5">
        <v>2024</v>
      </c>
    </row>
    <row r="229" spans="1:13" x14ac:dyDescent="0.3">
      <c r="A229" s="10">
        <v>228</v>
      </c>
      <c r="B229" s="11" t="s">
        <v>218</v>
      </c>
      <c r="C229" s="11" t="s">
        <v>247</v>
      </c>
      <c r="D229" s="11" t="s">
        <v>15</v>
      </c>
      <c r="E229" s="11" t="s">
        <v>16</v>
      </c>
      <c r="F229" s="12">
        <v>7</v>
      </c>
      <c r="G229" s="11">
        <v>0</v>
      </c>
      <c r="H229" s="11">
        <v>0</v>
      </c>
      <c r="I229" s="11">
        <v>0</v>
      </c>
      <c r="J229" s="12">
        <v>0</v>
      </c>
      <c r="K229" s="12">
        <v>0</v>
      </c>
      <c r="L229" s="11" t="s">
        <v>17</v>
      </c>
      <c r="M229" s="13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5B18-D51B-4E63-B2C6-5B62E608AB43}">
  <sheetPr>
    <tabColor rgb="FFFFFF00"/>
  </sheetPr>
  <dimension ref="A3:J37"/>
  <sheetViews>
    <sheetView zoomScale="75" workbookViewId="0">
      <selection activeCell="B12" sqref="B12:I12"/>
    </sheetView>
  </sheetViews>
  <sheetFormatPr defaultRowHeight="14.4" x14ac:dyDescent="0.3"/>
  <cols>
    <col min="1" max="1" width="11.21875" bestFit="1" customWidth="1"/>
    <col min="2" max="2" width="25.5546875" bestFit="1" customWidth="1"/>
    <col min="3" max="3" width="27.21875" bestFit="1" customWidth="1"/>
    <col min="4" max="4" width="21.6640625" customWidth="1"/>
    <col min="5" max="5" width="33" customWidth="1"/>
    <col min="6" max="6" width="30.21875" bestFit="1" customWidth="1"/>
    <col min="7" max="7" width="16.21875" bestFit="1" customWidth="1"/>
    <col min="8" max="8" width="19.44140625" customWidth="1"/>
    <col min="9" max="9" width="14.44140625" customWidth="1"/>
    <col min="10" max="10" width="12.44140625" customWidth="1"/>
  </cols>
  <sheetData>
    <row r="3" spans="1:10" hidden="1" x14ac:dyDescent="0.3">
      <c r="A3" s="22" t="s">
        <v>251</v>
      </c>
      <c r="B3" s="23" t="s">
        <v>256</v>
      </c>
      <c r="C3" s="23" t="s">
        <v>257</v>
      </c>
      <c r="D3" s="23" t="s">
        <v>249</v>
      </c>
      <c r="E3" s="23" t="s">
        <v>258</v>
      </c>
      <c r="F3" s="23" t="s">
        <v>259</v>
      </c>
      <c r="G3" s="23" t="s">
        <v>250</v>
      </c>
    </row>
    <row r="4" spans="1:10" hidden="1" x14ac:dyDescent="0.3">
      <c r="A4" s="24" t="s">
        <v>13</v>
      </c>
      <c r="B4" s="23">
        <v>64</v>
      </c>
      <c r="C4" s="23">
        <v>166</v>
      </c>
      <c r="D4" s="23">
        <v>158</v>
      </c>
      <c r="E4" s="23">
        <v>147</v>
      </c>
      <c r="F4" s="23">
        <v>75</v>
      </c>
      <c r="G4" s="23">
        <v>222</v>
      </c>
    </row>
    <row r="5" spans="1:10" hidden="1" x14ac:dyDescent="0.3">
      <c r="A5" s="24" t="s">
        <v>81</v>
      </c>
      <c r="B5" s="23">
        <v>64</v>
      </c>
      <c r="C5" s="23">
        <v>216</v>
      </c>
      <c r="D5" s="23">
        <v>207</v>
      </c>
      <c r="E5" s="23">
        <v>187</v>
      </c>
      <c r="F5" s="23">
        <v>53</v>
      </c>
      <c r="G5" s="23">
        <v>240</v>
      </c>
    </row>
    <row r="6" spans="1:10" hidden="1" x14ac:dyDescent="0.3">
      <c r="A6" s="24" t="s">
        <v>146</v>
      </c>
      <c r="B6" s="23">
        <v>71</v>
      </c>
      <c r="C6" s="23">
        <v>257</v>
      </c>
      <c r="D6" s="23">
        <v>226</v>
      </c>
      <c r="E6" s="23">
        <v>196</v>
      </c>
      <c r="F6" s="23">
        <v>49</v>
      </c>
      <c r="G6" s="23">
        <v>245</v>
      </c>
    </row>
    <row r="7" spans="1:10" hidden="1" x14ac:dyDescent="0.3">
      <c r="A7" s="24" t="s">
        <v>218</v>
      </c>
      <c r="B7" s="23">
        <v>29</v>
      </c>
      <c r="C7" s="23">
        <v>30</v>
      </c>
      <c r="D7" s="23">
        <v>28</v>
      </c>
      <c r="E7" s="23">
        <v>23</v>
      </c>
      <c r="F7" s="23">
        <v>5</v>
      </c>
      <c r="G7" s="23">
        <v>28</v>
      </c>
    </row>
    <row r="8" spans="1:10" hidden="1" x14ac:dyDescent="0.3">
      <c r="A8" s="25" t="s">
        <v>248</v>
      </c>
      <c r="B8" s="26">
        <v>228</v>
      </c>
      <c r="C8" s="26">
        <v>669</v>
      </c>
      <c r="D8" s="26">
        <v>619</v>
      </c>
      <c r="E8" s="26">
        <v>553</v>
      </c>
      <c r="F8" s="26">
        <v>182</v>
      </c>
      <c r="G8" s="26">
        <v>735</v>
      </c>
    </row>
    <row r="9" spans="1:10" ht="25.8" x14ac:dyDescent="0.5">
      <c r="A9" s="14"/>
      <c r="B9" s="15"/>
      <c r="C9" s="15"/>
      <c r="D9" s="15"/>
      <c r="E9" s="36" t="s">
        <v>265</v>
      </c>
      <c r="F9" s="15"/>
      <c r="G9" s="15"/>
      <c r="H9" s="15"/>
      <c r="I9" s="15"/>
      <c r="J9" s="18"/>
    </row>
    <row r="10" spans="1:10" x14ac:dyDescent="0.3">
      <c r="A10" s="16"/>
      <c r="J10" s="17"/>
    </row>
    <row r="11" spans="1:10" x14ac:dyDescent="0.3">
      <c r="A11" s="16"/>
      <c r="J11" s="17"/>
    </row>
    <row r="12" spans="1:10" ht="23.4" x14ac:dyDescent="0.45">
      <c r="A12" s="16"/>
      <c r="B12" s="37" t="s">
        <v>266</v>
      </c>
      <c r="C12" s="37"/>
      <c r="D12" s="37"/>
      <c r="E12" s="37"/>
      <c r="F12" s="37"/>
      <c r="G12" s="37"/>
      <c r="H12" s="37"/>
      <c r="I12" s="37"/>
      <c r="J12" s="17"/>
    </row>
    <row r="13" spans="1:10" ht="21" x14ac:dyDescent="0.4">
      <c r="A13" s="16"/>
      <c r="B13" s="30" t="s">
        <v>1</v>
      </c>
      <c r="C13" s="30" t="s">
        <v>252</v>
      </c>
      <c r="D13" s="30" t="s">
        <v>253</v>
      </c>
      <c r="E13" s="31" t="s">
        <v>254</v>
      </c>
      <c r="F13" s="31" t="s">
        <v>255</v>
      </c>
      <c r="G13" s="31" t="s">
        <v>260</v>
      </c>
      <c r="H13" s="31" t="s">
        <v>263</v>
      </c>
      <c r="I13" s="31" t="s">
        <v>264</v>
      </c>
      <c r="J13" s="17"/>
    </row>
    <row r="14" spans="1:10" ht="18" x14ac:dyDescent="0.35">
      <c r="A14" s="16"/>
      <c r="B14" s="27" t="s">
        <v>13</v>
      </c>
      <c r="C14" s="28">
        <v>64</v>
      </c>
      <c r="D14" s="28">
        <v>166</v>
      </c>
      <c r="E14" s="28">
        <f>C14*7</f>
        <v>448</v>
      </c>
      <c r="F14" s="28">
        <v>222</v>
      </c>
      <c r="G14" s="28">
        <f>E14-F14</f>
        <v>226</v>
      </c>
      <c r="H14" s="29">
        <f>(F14/E14)*100</f>
        <v>49.553571428571431</v>
      </c>
      <c r="I14" s="29">
        <f>(G14/E14)*100</f>
        <v>50.446428571428569</v>
      </c>
      <c r="J14" s="17"/>
    </row>
    <row r="15" spans="1:10" ht="18" x14ac:dyDescent="0.35">
      <c r="A15" s="16"/>
      <c r="B15" s="27" t="s">
        <v>81</v>
      </c>
      <c r="C15" s="28">
        <v>64</v>
      </c>
      <c r="D15" s="28">
        <v>216</v>
      </c>
      <c r="E15" s="28">
        <f t="shared" ref="E15:E17" si="0">C15*7</f>
        <v>448</v>
      </c>
      <c r="F15" s="28">
        <v>240</v>
      </c>
      <c r="G15" s="28">
        <f t="shared" ref="G15:G18" si="1">E15-F15</f>
        <v>208</v>
      </c>
      <c r="H15" s="29">
        <f t="shared" ref="H15:H18" si="2">(F15/E15)*100</f>
        <v>53.571428571428569</v>
      </c>
      <c r="I15" s="29">
        <f t="shared" ref="I15:I18" si="3">(G15/E15)*100</f>
        <v>46.428571428571431</v>
      </c>
      <c r="J15" s="17"/>
    </row>
    <row r="16" spans="1:10" ht="18" x14ac:dyDescent="0.35">
      <c r="A16" s="16"/>
      <c r="B16" s="27" t="s">
        <v>146</v>
      </c>
      <c r="C16" s="28">
        <v>71</v>
      </c>
      <c r="D16" s="28">
        <v>257</v>
      </c>
      <c r="E16" s="28">
        <f t="shared" si="0"/>
        <v>497</v>
      </c>
      <c r="F16" s="28">
        <v>245</v>
      </c>
      <c r="G16" s="28">
        <f t="shared" si="1"/>
        <v>252</v>
      </c>
      <c r="H16" s="29">
        <f t="shared" si="2"/>
        <v>49.295774647887328</v>
      </c>
      <c r="I16" s="29">
        <f t="shared" si="3"/>
        <v>50.704225352112672</v>
      </c>
      <c r="J16" s="17"/>
    </row>
    <row r="17" spans="1:10" ht="18" x14ac:dyDescent="0.35">
      <c r="A17" s="16"/>
      <c r="B17" s="27" t="s">
        <v>218</v>
      </c>
      <c r="C17" s="28">
        <v>29</v>
      </c>
      <c r="D17" s="28">
        <v>30</v>
      </c>
      <c r="E17" s="28">
        <f t="shared" si="0"/>
        <v>203</v>
      </c>
      <c r="F17" s="28">
        <v>28</v>
      </c>
      <c r="G17" s="28">
        <f t="shared" si="1"/>
        <v>175</v>
      </c>
      <c r="H17" s="29">
        <f t="shared" si="2"/>
        <v>13.793103448275861</v>
      </c>
      <c r="I17" s="29">
        <f t="shared" si="3"/>
        <v>86.206896551724128</v>
      </c>
      <c r="J17" s="17"/>
    </row>
    <row r="18" spans="1:10" ht="21" x14ac:dyDescent="0.4">
      <c r="A18" s="16"/>
      <c r="B18" s="32" t="s">
        <v>248</v>
      </c>
      <c r="C18" s="30">
        <v>228</v>
      </c>
      <c r="D18" s="30">
        <v>669</v>
      </c>
      <c r="E18" s="33">
        <f>C18*7</f>
        <v>1596</v>
      </c>
      <c r="F18" s="31">
        <v>735</v>
      </c>
      <c r="G18" s="33">
        <f t="shared" si="1"/>
        <v>861</v>
      </c>
      <c r="H18" s="34">
        <f t="shared" si="2"/>
        <v>46.05263157894737</v>
      </c>
      <c r="I18" s="34">
        <f t="shared" si="3"/>
        <v>53.94736842105263</v>
      </c>
      <c r="J18" s="17"/>
    </row>
    <row r="19" spans="1:10" x14ac:dyDescent="0.3">
      <c r="A19" s="16"/>
      <c r="J19" s="17"/>
    </row>
    <row r="20" spans="1:10" x14ac:dyDescent="0.3">
      <c r="A20" s="16"/>
      <c r="J20" s="17"/>
    </row>
    <row r="21" spans="1:10" x14ac:dyDescent="0.3">
      <c r="A21" s="16"/>
      <c r="J21" s="17"/>
    </row>
    <row r="22" spans="1:10" x14ac:dyDescent="0.3">
      <c r="A22" s="16"/>
      <c r="J22" s="17"/>
    </row>
    <row r="23" spans="1:10" x14ac:dyDescent="0.3">
      <c r="A23" s="16"/>
      <c r="J23" s="17"/>
    </row>
    <row r="24" spans="1:10" x14ac:dyDescent="0.3">
      <c r="A24" s="16"/>
      <c r="J24" s="17"/>
    </row>
    <row r="25" spans="1:10" ht="21" x14ac:dyDescent="0.4">
      <c r="A25" s="16"/>
      <c r="B25" s="38" t="s">
        <v>262</v>
      </c>
      <c r="C25" s="39"/>
      <c r="D25" s="40"/>
      <c r="J25" s="17"/>
    </row>
    <row r="26" spans="1:10" ht="21" x14ac:dyDescent="0.4">
      <c r="A26" s="16"/>
      <c r="B26" s="30" t="s">
        <v>1</v>
      </c>
      <c r="C26" s="30" t="s">
        <v>255</v>
      </c>
      <c r="D26" s="35" t="s">
        <v>261</v>
      </c>
      <c r="J26" s="17"/>
    </row>
    <row r="27" spans="1:10" ht="18" x14ac:dyDescent="0.35">
      <c r="A27" s="16"/>
      <c r="B27" s="27" t="s">
        <v>146</v>
      </c>
      <c r="C27" s="28">
        <v>245</v>
      </c>
      <c r="D27" s="28">
        <f>_xlfn.RANK.AVG(C27,$C$27:$C$30,0)</f>
        <v>1</v>
      </c>
      <c r="J27" s="17"/>
    </row>
    <row r="28" spans="1:10" ht="18" x14ac:dyDescent="0.35">
      <c r="A28" s="16"/>
      <c r="B28" s="27" t="s">
        <v>81</v>
      </c>
      <c r="C28" s="28">
        <v>240</v>
      </c>
      <c r="D28" s="28">
        <f>_xlfn.RANK.AVG(C28,$C$27:$C$30,0)</f>
        <v>2</v>
      </c>
      <c r="J28" s="17"/>
    </row>
    <row r="29" spans="1:10" ht="18" x14ac:dyDescent="0.35">
      <c r="A29" s="16"/>
      <c r="B29" s="27" t="s">
        <v>13</v>
      </c>
      <c r="C29" s="28">
        <v>222</v>
      </c>
      <c r="D29" s="28">
        <f>_xlfn.RANK.AVG(C29,$C$27:$C$30,0)</f>
        <v>3</v>
      </c>
      <c r="J29" s="17"/>
    </row>
    <row r="30" spans="1:10" ht="18" x14ac:dyDescent="0.35">
      <c r="A30" s="16"/>
      <c r="B30" s="27" t="s">
        <v>218</v>
      </c>
      <c r="C30" s="28">
        <v>28</v>
      </c>
      <c r="D30" s="28">
        <f>_xlfn.RANK.AVG(C30,$C$27:$C$30,0)</f>
        <v>4</v>
      </c>
      <c r="J30" s="17"/>
    </row>
    <row r="31" spans="1:10" x14ac:dyDescent="0.3">
      <c r="A31" s="16"/>
      <c r="J31" s="17"/>
    </row>
    <row r="32" spans="1:10" x14ac:dyDescent="0.3">
      <c r="A32" s="16"/>
      <c r="J32" s="17"/>
    </row>
    <row r="33" spans="1:10" x14ac:dyDescent="0.3">
      <c r="A33" s="16"/>
      <c r="J33" s="17"/>
    </row>
    <row r="34" spans="1:10" x14ac:dyDescent="0.3">
      <c r="A34" s="16"/>
      <c r="J34" s="17"/>
    </row>
    <row r="35" spans="1:10" x14ac:dyDescent="0.3">
      <c r="A35" s="16"/>
      <c r="J35" s="17"/>
    </row>
    <row r="36" spans="1:10" x14ac:dyDescent="0.3">
      <c r="A36" s="16"/>
      <c r="J36" s="17"/>
    </row>
    <row r="37" spans="1:10" x14ac:dyDescent="0.3">
      <c r="A37" s="19"/>
      <c r="B37" s="20"/>
      <c r="C37" s="20"/>
      <c r="D37" s="20"/>
      <c r="E37" s="20"/>
      <c r="F37" s="20"/>
      <c r="G37" s="20"/>
      <c r="H37" s="20"/>
      <c r="I37" s="20"/>
      <c r="J37" s="21"/>
    </row>
  </sheetData>
  <autoFilter ref="B26:D30" xr:uid="{A9EA5B18-D51B-4E63-B2C6-5B62E608AB43}">
    <sortState xmlns:xlrd2="http://schemas.microsoft.com/office/spreadsheetml/2017/richdata2" ref="B27:D30">
      <sortCondition ref="D26:D30"/>
    </sortState>
  </autoFilter>
  <mergeCells count="2">
    <mergeCell ref="B12:I12"/>
    <mergeCell ref="B25:D25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Student_data</vt:lpstr>
      <vt:lpstr>Dahboard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Kumari</dc:creator>
  <cp:lastModifiedBy>Aditi Kumari</cp:lastModifiedBy>
  <dcterms:created xsi:type="dcterms:W3CDTF">2025-09-13T13:16:52Z</dcterms:created>
  <dcterms:modified xsi:type="dcterms:W3CDTF">2025-11-04T19:03:28Z</dcterms:modified>
</cp:coreProperties>
</file>